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 - Menu" sheetId="1" state="visible" r:id="rId1"/>
    <sheet xmlns:r="http://schemas.openxmlformats.org/officeDocument/2006/relationships" name="APP - Form Dettes" sheetId="2" state="visible" r:id="rId2"/>
    <sheet xmlns:r="http://schemas.openxmlformats.org/officeDocument/2006/relationships" name="APP - Form Airtime" sheetId="3" state="visible" r:id="rId3"/>
    <sheet xmlns:r="http://schemas.openxmlformats.org/officeDocument/2006/relationships" name="APP - Form Cash" sheetId="4" state="visible" r:id="rId4"/>
    <sheet xmlns:r="http://schemas.openxmlformats.org/officeDocument/2006/relationships" name="APP - Form Virtuel" sheetId="5" state="visible" r:id="rId5"/>
    <sheet xmlns:r="http://schemas.openxmlformats.org/officeDocument/2006/relationships" name="VBA - Code" sheetId="6" state="visible" r:id="rId6"/>
    <sheet xmlns:r="http://schemas.openxmlformats.org/officeDocument/2006/relationships" name="Paramètres" sheetId="7" state="visible" r:id="rId7"/>
    <sheet xmlns:r="http://schemas.openxmlformats.org/officeDocument/2006/relationships" name="Mode d'emploi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Dettes Clients" sheetId="10" state="visible" r:id="rId10"/>
    <sheet xmlns:r="http://schemas.openxmlformats.org/officeDocument/2006/relationships" name="Synthèse Dettes" sheetId="11" state="visible" r:id="rId11"/>
    <sheet xmlns:r="http://schemas.openxmlformats.org/officeDocument/2006/relationships" name="Réalisations Airtime" sheetId="12" state="visible" r:id="rId12"/>
    <sheet xmlns:r="http://schemas.openxmlformats.org/officeDocument/2006/relationships" name="Cash" sheetId="13" state="visible" r:id="rId13"/>
    <sheet xmlns:r="http://schemas.openxmlformats.org/officeDocument/2006/relationships" name="Virtuel" sheetId="14" state="visible" r:id="rId14"/>
    <sheet xmlns:r="http://schemas.openxmlformats.org/officeDocument/2006/relationships" name="Objectif Airtime" sheetId="15" state="visible" r:id="rId15"/>
    <sheet xmlns:r="http://schemas.openxmlformats.org/officeDocument/2006/relationships" name="Mes dettes" sheetId="16" state="visible" r:id="rId16"/>
  </sheets>
  <definedNames>
    <definedName name="inpClient">'APP - Form Dettes'!$B$4</definedName>
    <definedName name="inpDate">'APP - Form Dettes'!$B$5</definedName>
    <definedName name="inpDetteCDF">'APP - Form Dettes'!$B$6</definedName>
    <definedName name="inpDetteUSD">'APP - Form Dettes'!$B$7</definedName>
    <definedName name="inpPaiement">'APP - Form Dettes'!$B$8</definedName>
    <definedName name="inpA_Type">'APP - Form Airtime'!$B$6</definedName>
    <definedName name="inpA_Qte">'APP - Form Airtime'!$B$7</definedName>
    <definedName name="inpC_Date">'APP - Form Cash'!$B$4</definedName>
    <definedName name="inpC_Devise">'APP - Form Cash'!$B$5</definedName>
    <definedName name="inpC_Montant">'APP - Form Cash'!$B$6</definedName>
    <definedName name="inpC_Desc">'APP - Form Cash'!$B$7</definedName>
    <definedName name="inpV_Date">'APP - Form Virtuel'!$B$4</definedName>
    <definedName name="inpV_Reseau">'APP - Form Virtuel'!$B$5</definedName>
    <definedName name="inpV_Devise">'APP - Form Virtuel'!$B$6</definedName>
    <definedName name="inpV_Montant">'APP - Form Virtuel'!$B$7</definedName>
    <definedName name="inpV_Desc">'APP - Form Virtuel'!$B$8</definedName>
    <definedName name="inpA_Date">'APP - Form Airtime'!$B$4</definedName>
    <definedName name="inpA_Reseau">'APP - Form Airtime'!$B$5</definedName>
    <definedName name="inpA_Unites">'APP - Form Airtime'!$B$6</definedName>
    <definedName name="inpA_ValCDF">'APP - Form Airtime'!$B$7</definedName>
    <definedName name="inpA_ValUSD">'APP - Form Airtime'!$B$8</definedName>
  </definedNames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  <font>
      <b val="1"/>
      <sz val="12"/>
    </font>
    <font>
      <i val="1"/>
      <sz val="10"/>
    </font>
    <font>
      <i val="1"/>
      <color rgb="007F7F7F"/>
    </font>
    <font>
      <b val="1"/>
      <color rgb="00FFFFFF"/>
      <sz val="16"/>
    </font>
    <font>
      <b val="1"/>
      <color rgb="00FFFFFF"/>
      <sz val="14"/>
    </font>
    <font>
      <b val="1"/>
      <color rgb="001F4E79"/>
      <sz val="18"/>
    </font>
    <font>
      <b val="1"/>
      <color rgb="001F4E79"/>
      <sz val="16"/>
    </font>
    <font>
      <b val="1"/>
      <color rgb="001F4E79"/>
    </font>
    <font>
      <b val="1"/>
      <color rgb="00C00000"/>
      <sz val="14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0B5394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00B050"/>
      </patternFill>
    </fill>
  </fills>
  <borders count="14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/>
      <right style="thin"/>
      <top style="thin"/>
      <bottom style="thin"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4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2" applyAlignment="1" pivotButton="0" quotePrefix="0" xfId="0">
      <alignment horizontal="right" vertical="center"/>
    </xf>
    <xf numFmtId="4" fontId="1" fillId="0" borderId="2" pivotButton="0" quotePrefix="0" xfId="0"/>
    <xf numFmtId="3" fontId="1" fillId="0" borderId="2" pivotButton="0" quotePrefix="0" xfId="0"/>
    <xf numFmtId="0" fontId="3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1" fillId="4" borderId="3" applyAlignment="1" pivotButton="0" quotePrefix="0" xfId="0">
      <alignment horizontal="left" vertical="center"/>
    </xf>
    <xf numFmtId="3" fontId="0" fillId="4" borderId="3" applyAlignment="1" pivotButton="0" quotePrefix="0" xfId="0">
      <alignment horizontal="right" vertical="center"/>
    </xf>
    <xf numFmtId="4" fontId="0" fillId="4" borderId="3" applyAlignment="1" pivotButton="0" quotePrefix="0" xfId="0">
      <alignment horizontal="right" vertical="center"/>
    </xf>
    <xf numFmtId="1" fontId="0" fillId="4" borderId="3" applyAlignment="1" pivotButton="0" quotePrefix="0" xfId="0">
      <alignment horizontal="right" vertical="center"/>
    </xf>
    <xf numFmtId="0" fontId="0" fillId="3" borderId="3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3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3" fontId="0" fillId="0" borderId="3" applyAlignment="1" pivotButton="0" quotePrefix="0" xfId="0">
      <alignment horizontal="right" vertical="center"/>
    </xf>
    <xf numFmtId="4" fontId="0" fillId="0" borderId="3" applyAlignment="1" pivotButton="0" quotePrefix="0" xfId="0">
      <alignment horizontal="right" vertical="center"/>
    </xf>
    <xf numFmtId="0" fontId="2" fillId="5" borderId="8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8" fillId="5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7" fillId="2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4" fillId="3" borderId="8" applyAlignment="1" pivotButton="0" quotePrefix="0" xfId="0">
      <alignment horizontal="left" vertical="center"/>
    </xf>
    <xf numFmtId="0" fontId="1" fillId="4" borderId="8" applyAlignment="1" pivotButton="0" quotePrefix="0" xfId="0">
      <alignment horizontal="left" vertical="center"/>
    </xf>
    <xf numFmtId="4" fontId="0" fillId="4" borderId="8" applyAlignment="1" pivotButton="0" quotePrefix="0" xfId="0">
      <alignment horizontal="right" vertical="center"/>
    </xf>
    <xf numFmtId="0" fontId="5" fillId="0" borderId="8" pivotButton="0" quotePrefix="0" xfId="0"/>
    <xf numFmtId="0" fontId="4" fillId="0" borderId="8" pivotButton="0" quotePrefix="0" xfId="0"/>
    <xf numFmtId="0" fontId="1" fillId="3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4" fontId="0" fillId="0" borderId="8" applyAlignment="1" pivotButton="0" quotePrefix="0" xfId="0">
      <alignment horizontal="right" vertical="center"/>
    </xf>
    <xf numFmtId="0" fontId="2" fillId="5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4" fontId="0" fillId="0" borderId="8" applyAlignment="1" pivotButton="0" quotePrefix="0" xfId="0">
      <alignment vertical="center"/>
    </xf>
    <xf numFmtId="1" fontId="0" fillId="0" borderId="8" applyAlignment="1" pivotButton="0" quotePrefix="0" xfId="0">
      <alignment vertical="center"/>
    </xf>
    <xf numFmtId="0" fontId="2" fillId="5" borderId="8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9" fillId="0" borderId="0" pivotButton="0" quotePrefix="0" xfId="0"/>
    <xf numFmtId="0" fontId="2" fillId="6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0" fillId="7" borderId="13" applyAlignment="1" pivotButton="0" quotePrefix="0" xfId="0">
      <alignment horizontal="left"/>
    </xf>
    <xf numFmtId="0" fontId="6" fillId="0" borderId="0" pivotButton="0" quotePrefix="0" xfId="0"/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/>
  </cellStyles>
  <dxfs count="2"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Airtime (CDF) par Réseau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'Dashboard'!$A$19:$A$21</f>
            </numRef>
          </cat>
          <val>
            <numRef>
              <f>'Dashboard'!$B$19:$B$21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Réseau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Virtuel (CDF) par Réseau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'Dashboard'!$A$19:$A$21</f>
            </numRef>
          </cat>
          <val>
            <numRef>
              <f>'Dashboard'!$D$19:$D$21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Réseau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ttes" displayName="TDettes" ref="A1:F201" headerRowCount="1">
  <autoFilter ref="A1:F201"/>
  <tableColumns count="6">
    <tableColumn id="1" name="Client"/>
    <tableColumn id="2" name="Date"/>
    <tableColumn id="3" name="Montant dette CDF"/>
    <tableColumn id="4" name="Montant dette USD"/>
    <tableColumn id="5" name="Paiement effectué"/>
    <tableColumn id="6" name="Reste à payer"/>
  </tableColumns>
  <tableStyleInfo name="TableStyleMedium9" showRowStripes="1"/>
</table>
</file>

<file path=xl/tables/table2.xml><?xml version="1.0" encoding="utf-8"?>
<table xmlns="http://schemas.openxmlformats.org/spreadsheetml/2006/main" id="2" name="T_DettesClients" displayName="T_DettesClients" ref="A1:H201" headerRowCount="1">
  <autoFilter ref="A1:H201"/>
  <tableColumns count="8">
    <tableColumn id="1" name="Client"/>
    <tableColumn id="2" name="Date"/>
    <tableColumn id="3" name="Montant dette CDF"/>
    <tableColumn id="4" name="Montant dette USD"/>
    <tableColumn id="5" name="Paiement effectué"/>
    <tableColumn id="6" name="Reste à payer"/>
    <tableColumn id="7" name="Jours (depuis date)"/>
    <tableColumn id="8" name="Statu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Real" displayName="TReal" ref="A1:E201" headerRowCount="1">
  <autoFilter ref="A1:E201"/>
  <tableColumns count="5">
    <tableColumn id="1" name="Date"/>
    <tableColumn id="2" name="Réseau"/>
    <tableColumn id="3" name="Unités réalisées"/>
    <tableColumn id="4" name="Valeur en CDF"/>
    <tableColumn id="5" name="Valeur en USD"/>
  </tableColumns>
  <tableStyleInfo name="TableStyleMedium9" showRowStripes="1"/>
</table>
</file>

<file path=xl/tables/table4.xml><?xml version="1.0" encoding="utf-8"?>
<table xmlns="http://schemas.openxmlformats.org/spreadsheetml/2006/main" id="4" name="T_Airtime" displayName="T_Airtime" ref="A1:E201" headerRowCount="1">
  <autoFilter ref="A1:E201"/>
  <tableColumns count="5">
    <tableColumn id="1" name="Date"/>
    <tableColumn id="2" name="Réseau"/>
    <tableColumn id="3" name="Unités réalisées"/>
    <tableColumn id="4" name="Valeur en CDF"/>
    <tableColumn id="5" name="Valeur en US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Cash" displayName="TCash" ref="A1:C301" headerRowCount="1">
  <autoFilter ref="A1:C301"/>
  <tableColumns count="3">
    <tableColumn id="1" name="Date"/>
    <tableColumn id="2" name="Montant USD"/>
    <tableColumn id="3" name="Montant CDF"/>
  </tableColumns>
  <tableStyleInfo name="TableStyleMedium9" showRowStripes="1"/>
</table>
</file>

<file path=xl/tables/table6.xml><?xml version="1.0" encoding="utf-8"?>
<table xmlns="http://schemas.openxmlformats.org/spreadsheetml/2006/main" id="6" name="T_Cash" displayName="T_Cash" ref="A1:C301" headerRowCount="1">
  <autoFilter ref="A1:C301"/>
  <tableColumns count="3">
    <tableColumn id="1" name="Date"/>
    <tableColumn id="2" name="Montant USD"/>
    <tableColumn id="3" name="Montant CDF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Virtuel" displayName="TVirtuel" ref="A1:D201" headerRowCount="1">
  <autoFilter ref="A1:D201"/>
  <tableColumns count="4">
    <tableColumn id="1" name="Date"/>
    <tableColumn id="2" name="Réseau"/>
    <tableColumn id="3" name="Montant CDF"/>
    <tableColumn id="4" name="Montant USD"/>
  </tableColumns>
  <tableStyleInfo name="TableStyleMedium9" showRowStripes="1"/>
</table>
</file>

<file path=xl/tables/table8.xml><?xml version="1.0" encoding="utf-8"?>
<table xmlns="http://schemas.openxmlformats.org/spreadsheetml/2006/main" id="8" name="T_Virtuel" displayName="T_Virtuel" ref="A1:D201" headerRowCount="1">
  <autoFilter ref="A1:D201"/>
  <tableColumns count="4">
    <tableColumn id="1" name="Date"/>
    <tableColumn id="2" name="Réseau"/>
    <tableColumn id="3" name="Montant CDF"/>
    <tableColumn id="4" name="Montant US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Objectif" displayName="TObjectif" ref="A1:E201" headerRowCount="1">
  <autoFilter ref="A1:E201"/>
  <tableColumns count="5">
    <tableColumn id="1" name="Date"/>
    <tableColumn id="2" name="Réseau"/>
    <tableColumn id="3" name="Montant du Jour"/>
    <tableColumn id="4" name="Mois (AAAA-MM)"/>
    <tableColumn id="5" name="Montant du mois"/>
  </tableColumns>
  <tableStyleInfo name="TableStyleMedium9" showRowStripes="1"/>
</table>
</file>

<file path=xl/tables/table10.xml><?xml version="1.0" encoding="utf-8"?>
<table xmlns="http://schemas.openxmlformats.org/spreadsheetml/2006/main" id="10" name="T_ObjectifAirtime" displayName="T_ObjectifAirtime" ref="A1:E201" headerRowCount="1">
  <autoFilter ref="A1:E201"/>
  <tableColumns count="5">
    <tableColumn id="1" name="Date"/>
    <tableColumn id="2" name="Réseau"/>
    <tableColumn id="3" name="Montant du Jour"/>
    <tableColumn id="4" name="Mois (AAAA-MM)"/>
    <tableColumn id="5" name="Montant du moi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_MesDettes" displayName="T_MesDettes" ref="A1:D201" headerRowCount="1">
  <autoFilter ref="A1:D201"/>
  <tableColumns count="4">
    <tableColumn id="1" name="Date"/>
    <tableColumn id="2" name="Client"/>
    <tableColumn id="3" name="Montant USD"/>
    <tableColumn id="4" name="Montant CD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APP - Form Dettes'!A1" TargetMode="External" Id="rId1"/><Relationship Type="http://schemas.openxmlformats.org/officeDocument/2006/relationships/hyperlink" Target="#'Dettes Clients'!A1" TargetMode="External" Id="rId2"/><Relationship Type="http://schemas.openxmlformats.org/officeDocument/2006/relationships/hyperlink" Target="#'APP - Form Airtime'!A1" TargetMode="External" Id="rId3"/><Relationship Type="http://schemas.openxmlformats.org/officeDocument/2006/relationships/hyperlink" Target="#'R&#233;alisations Airtime'!A1" TargetMode="External" Id="rId4"/><Relationship Type="http://schemas.openxmlformats.org/officeDocument/2006/relationships/hyperlink" Target="#'APP - Form Cash'!A1" TargetMode="External" Id="rId5"/><Relationship Type="http://schemas.openxmlformats.org/officeDocument/2006/relationships/hyperlink" Target="#'Cash'!A1" TargetMode="External" Id="rId6"/><Relationship Type="http://schemas.openxmlformats.org/officeDocument/2006/relationships/hyperlink" Target="#'APP - Form Virtuel'!A1" TargetMode="External" Id="rId7"/><Relationship Type="http://schemas.openxmlformats.org/officeDocument/2006/relationships/hyperlink" Target="#'Virtuel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APP - Men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APP - Men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APP - Men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APP - Menu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28" customWidth="1" min="4" max="4"/>
  </cols>
  <sheetData>
    <row r="1">
      <c r="A1" s="51" t="inlineStr">
        <is>
          <t>PROLOGICIEL TKS — Version Application</t>
        </is>
      </c>
    </row>
    <row r="2">
      <c r="A2" s="23" t="inlineStr">
        <is>
          <t>Choisis une action :</t>
        </is>
      </c>
    </row>
    <row r="3" ht="30" customHeight="1"/>
    <row r="4" ht="28" customHeight="1">
      <c r="A4" s="52" t="inlineStr">
        <is>
          <t>➕ Ajouter une dette client</t>
        </is>
      </c>
      <c r="C4" s="52" t="inlineStr">
        <is>
          <t>📄 Ouvrir tableau Dettes</t>
        </is>
      </c>
    </row>
    <row r="5" ht="30" customHeight="1"/>
    <row r="6" ht="28" customHeight="1">
      <c r="A6" s="52" t="inlineStr">
        <is>
          <t>➕ Ajouter une réalisation Airtime</t>
        </is>
      </c>
      <c r="C6" s="52" t="inlineStr">
        <is>
          <t>📄 Ouvrir tableau Airtime</t>
        </is>
      </c>
    </row>
    <row r="7" ht="30" customHeight="1"/>
    <row r="8" ht="28" customHeight="1">
      <c r="A8" s="52" t="inlineStr">
        <is>
          <t>➕ Ajouter une entrée Cash</t>
        </is>
      </c>
      <c r="C8" s="52" t="inlineStr">
        <is>
          <t>📄 Ouvrir tableau Cash</t>
        </is>
      </c>
    </row>
    <row r="9" ht="30" customHeight="1"/>
    <row r="10" ht="28" customHeight="1">
      <c r="A10" s="52" t="inlineStr">
        <is>
          <t>➕ Ajouter une entrée Virtuel</t>
        </is>
      </c>
      <c r="C10" s="52" t="inlineStr">
        <is>
          <t>📄 Ouvrir tableau Virtuel</t>
        </is>
      </c>
    </row>
    <row r="11" ht="30" customHeight="1"/>
  </sheetData>
  <mergeCells count="2">
    <mergeCell ref="A1:D1"/>
    <mergeCell ref="A2:D2"/>
  </mergeCells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A6" r:id="rId3"/>
    <hyperlink xmlns:r="http://schemas.openxmlformats.org/officeDocument/2006/relationships" ref="C6" r:id="rId4"/>
    <hyperlink xmlns:r="http://schemas.openxmlformats.org/officeDocument/2006/relationships" ref="A8" r:id="rId5"/>
    <hyperlink xmlns:r="http://schemas.openxmlformats.org/officeDocument/2006/relationships" ref="C8" r:id="rId6"/>
    <hyperlink xmlns:r="http://schemas.openxmlformats.org/officeDocument/2006/relationships" ref="A10" r:id="rId7"/>
    <hyperlink xmlns:r="http://schemas.openxmlformats.org/officeDocument/2006/relationships" ref="C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30" customWidth="1" min="4" max="4"/>
    <col width="22" customWidth="1" min="5" max="5"/>
  </cols>
  <sheetData>
    <row r="1">
      <c r="A1" s="53" t="inlineStr">
        <is>
          <t>Formulaire — Dettes Clients</t>
        </is>
      </c>
    </row>
    <row r="2" ht="30" customHeight="1">
      <c r="A2" s="32" t="inlineStr">
        <is>
          <t>Remplis les champs puis clique “ENREGISTRER” (macro).</t>
        </is>
      </c>
    </row>
    <row r="4" ht="22" customHeight="1">
      <c r="A4" s="54" t="inlineStr">
        <is>
          <t>Client</t>
        </is>
      </c>
      <c r="B4" s="55" t="inlineStr"/>
      <c r="D4" s="56" t="inlineStr">
        <is>
          <t>Texte</t>
        </is>
      </c>
    </row>
    <row r="5" ht="22" customHeight="1">
      <c r="A5" s="54" t="inlineStr">
        <is>
          <t>Date</t>
        </is>
      </c>
      <c r="B5" s="55" t="inlineStr"/>
      <c r="D5" s="56" t="inlineStr">
        <is>
          <t>Date (vide=aujourd’hui)</t>
        </is>
      </c>
    </row>
    <row r="6" ht="22" customHeight="1">
      <c r="A6" s="54" t="inlineStr">
        <is>
          <t>Montant dette CDF</t>
        </is>
      </c>
      <c r="B6" s="55" t="inlineStr"/>
      <c r="D6" s="56" t="inlineStr">
        <is>
          <t>Nombre</t>
        </is>
      </c>
    </row>
    <row r="7" ht="22" customHeight="1">
      <c r="A7" s="54" t="inlineStr">
        <is>
          <t>Montant dette USD</t>
        </is>
      </c>
      <c r="B7" s="55" t="inlineStr"/>
      <c r="D7" s="56" t="inlineStr">
        <is>
          <t>Nombre</t>
        </is>
      </c>
    </row>
    <row r="8" ht="22" customHeight="1">
      <c r="A8" s="54" t="inlineStr">
        <is>
          <t>Paiement effectué</t>
        </is>
      </c>
      <c r="B8" s="55" t="inlineStr"/>
      <c r="D8" s="56" t="inlineStr">
        <is>
          <t>Nombre</t>
        </is>
      </c>
    </row>
    <row r="11" ht="28" customHeight="1">
      <c r="A11" s="57" t="inlineStr">
        <is>
          <t>⬅ Menu</t>
        </is>
      </c>
      <c r="C11" s="58" t="inlineStr">
        <is>
          <t>💾 ENREGISTRER</t>
        </is>
      </c>
    </row>
  </sheetData>
  <mergeCells count="3">
    <mergeCell ref="A2:E2"/>
    <mergeCell ref="A1:E1"/>
    <mergeCell ref="C11:D11"/>
  </mergeCell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30" customWidth="1" min="4" max="4"/>
    <col width="22" customWidth="1" min="5" max="5"/>
  </cols>
  <sheetData>
    <row r="1">
      <c r="A1" s="53" t="inlineStr">
        <is>
          <t>Formulaire — Réalisations Airtime</t>
        </is>
      </c>
    </row>
    <row r="2" ht="30" customHeight="1">
      <c r="A2" s="32" t="inlineStr">
        <is>
          <t>Remplis les champs puis clique “ENREGISTRER” (macro).</t>
        </is>
      </c>
    </row>
    <row r="4" ht="22" customHeight="1">
      <c r="A4" s="54" t="inlineStr">
        <is>
          <t>Date</t>
        </is>
      </c>
      <c r="B4" s="55" t="inlineStr"/>
      <c r="D4" s="56" t="inlineStr">
        <is>
          <t>Date (vide=aujourd’hui)</t>
        </is>
      </c>
    </row>
    <row r="5" ht="22" customHeight="1">
      <c r="A5" s="54" t="inlineStr">
        <is>
          <t>Réseau</t>
        </is>
      </c>
      <c r="B5" s="55" t="inlineStr"/>
      <c r="D5" s="56" t="inlineStr">
        <is>
          <t>Liste</t>
        </is>
      </c>
    </row>
    <row r="6" ht="22" customHeight="1">
      <c r="A6" s="54" t="inlineStr">
        <is>
          <t>Unités réalisées</t>
        </is>
      </c>
      <c r="B6" s="55" t="inlineStr"/>
      <c r="D6" s="56" t="inlineStr">
        <is>
          <t>Nombre</t>
        </is>
      </c>
    </row>
    <row r="7" ht="22" customHeight="1">
      <c r="A7" s="54" t="inlineStr">
        <is>
          <t>Valeur en CDF</t>
        </is>
      </c>
      <c r="B7" s="55" t="inlineStr"/>
      <c r="D7" s="56" t="inlineStr">
        <is>
          <t>Nombre</t>
        </is>
      </c>
    </row>
    <row r="8" ht="22" customHeight="1">
      <c r="A8" s="54" t="inlineStr">
        <is>
          <t>Valeur en USD</t>
        </is>
      </c>
      <c r="B8" s="55" t="inlineStr"/>
      <c r="D8" s="56" t="inlineStr">
        <is>
          <t>Nombre</t>
        </is>
      </c>
    </row>
    <row r="11" ht="28" customHeight="1">
      <c r="A11" s="57" t="inlineStr">
        <is>
          <t>⬅ Menu</t>
        </is>
      </c>
      <c r="C11" s="58" t="inlineStr">
        <is>
          <t>💾 ENREGISTRER</t>
        </is>
      </c>
    </row>
  </sheetData>
  <mergeCells count="3">
    <mergeCell ref="A2:E2"/>
    <mergeCell ref="A1:E1"/>
    <mergeCell ref="C11:D11"/>
  </mergeCells>
  <dataValidations count="1">
    <dataValidation sqref="B5" showDropDown="0" showInputMessage="0" showErrorMessage="0" allowBlank="1" type="list">
      <formula1>"Orange,Airtel,Africell,Vodacom,Autre"</formula1>
    </dataValidation>
  </dataValidation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30" customWidth="1" min="4" max="4"/>
    <col width="22" customWidth="1" min="5" max="5"/>
  </cols>
  <sheetData>
    <row r="1">
      <c r="A1" s="53" t="inlineStr">
        <is>
          <t>Formulaire — Cash</t>
        </is>
      </c>
    </row>
    <row r="2" ht="30" customHeight="1">
      <c r="A2" s="32" t="inlineStr">
        <is>
          <t>Remplis les champs puis clique “ENREGISTRER” (macro).</t>
        </is>
      </c>
    </row>
    <row r="4" ht="22" customHeight="1">
      <c r="A4" s="54" t="inlineStr">
        <is>
          <t>Date</t>
        </is>
      </c>
      <c r="B4" s="55" t="inlineStr"/>
      <c r="D4" s="56" t="inlineStr">
        <is>
          <t>Date (vide=aujourd’hui)</t>
        </is>
      </c>
    </row>
    <row r="5" ht="22" customHeight="1">
      <c r="A5" s="54" t="inlineStr">
        <is>
          <t>Devise</t>
        </is>
      </c>
      <c r="B5" s="55" t="inlineStr"/>
      <c r="D5" s="56" t="inlineStr">
        <is>
          <t>CDF ou USD</t>
        </is>
      </c>
    </row>
    <row r="6" ht="22" customHeight="1">
      <c r="A6" s="54" t="inlineStr">
        <is>
          <t>Montant</t>
        </is>
      </c>
      <c r="B6" s="55" t="inlineStr"/>
      <c r="D6" s="56" t="inlineStr">
        <is>
          <t>Nombre</t>
        </is>
      </c>
    </row>
    <row r="7" ht="22" customHeight="1">
      <c r="A7" s="54" t="inlineStr">
        <is>
          <t>Description</t>
        </is>
      </c>
      <c r="B7" s="55" t="inlineStr"/>
      <c r="D7" s="56" t="inlineStr">
        <is>
          <t>Texte (optionnel)</t>
        </is>
      </c>
    </row>
    <row r="10" ht="28" customHeight="1">
      <c r="A10" s="57" t="inlineStr">
        <is>
          <t>⬅ Menu</t>
        </is>
      </c>
      <c r="C10" s="58" t="inlineStr">
        <is>
          <t>💾 ENREGISTRER</t>
        </is>
      </c>
    </row>
  </sheetData>
  <mergeCells count="3">
    <mergeCell ref="A2:E2"/>
    <mergeCell ref="A1:E1"/>
    <mergeCell ref="C10:D10"/>
  </mergeCells>
  <dataValidations count="1">
    <dataValidation sqref="B5" showDropDown="0" showInputMessage="0" showErrorMessage="0" allowBlank="1" type="list">
      <formula1>"CDF,USD"</formula1>
    </dataValidation>
  </dataValidation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30" customWidth="1" min="4" max="4"/>
    <col width="22" customWidth="1" min="5" max="5"/>
  </cols>
  <sheetData>
    <row r="1">
      <c r="A1" s="53" t="inlineStr">
        <is>
          <t>Formulaire — Virtuel</t>
        </is>
      </c>
    </row>
    <row r="2" ht="30" customHeight="1">
      <c r="A2" s="32" t="inlineStr">
        <is>
          <t>Remplis les champs puis clique “ENREGISTRER” (macro).</t>
        </is>
      </c>
    </row>
    <row r="4" ht="22" customHeight="1">
      <c r="A4" s="54" t="inlineStr">
        <is>
          <t>Date</t>
        </is>
      </c>
      <c r="B4" s="55" t="inlineStr"/>
      <c r="D4" s="56" t="inlineStr">
        <is>
          <t>Date (vide=aujourd’hui)</t>
        </is>
      </c>
    </row>
    <row r="5" ht="22" customHeight="1">
      <c r="A5" s="54" t="inlineStr">
        <is>
          <t>Réseau</t>
        </is>
      </c>
      <c r="B5" s="55" t="inlineStr"/>
      <c r="D5" s="56" t="inlineStr">
        <is>
          <t>Liste</t>
        </is>
      </c>
    </row>
    <row r="6" ht="22" customHeight="1">
      <c r="A6" s="54" t="inlineStr">
        <is>
          <t>Devise</t>
        </is>
      </c>
      <c r="B6" s="55" t="inlineStr"/>
      <c r="D6" s="56" t="inlineStr">
        <is>
          <t>CDF ou USD</t>
        </is>
      </c>
    </row>
    <row r="7" ht="22" customHeight="1">
      <c r="A7" s="54" t="inlineStr">
        <is>
          <t>Montant</t>
        </is>
      </c>
      <c r="B7" s="55" t="inlineStr"/>
      <c r="D7" s="56" t="inlineStr">
        <is>
          <t>Nombre</t>
        </is>
      </c>
    </row>
    <row r="8" ht="22" customHeight="1">
      <c r="A8" s="54" t="inlineStr">
        <is>
          <t>Description</t>
        </is>
      </c>
      <c r="B8" s="55" t="inlineStr"/>
      <c r="D8" s="56" t="inlineStr">
        <is>
          <t>Texte (optionnel)</t>
        </is>
      </c>
    </row>
    <row r="11" ht="28" customHeight="1">
      <c r="A11" s="57" t="inlineStr">
        <is>
          <t>⬅ Menu</t>
        </is>
      </c>
      <c r="C11" s="58" t="inlineStr">
        <is>
          <t>💾 ENREGISTRER</t>
        </is>
      </c>
    </row>
  </sheetData>
  <mergeCells count="3">
    <mergeCell ref="A2:E2"/>
    <mergeCell ref="A1:E1"/>
    <mergeCell ref="C11:D11"/>
  </mergeCells>
  <dataValidations count="2">
    <dataValidation sqref="B5" showDropDown="0" showInputMessage="0" showErrorMessage="0" allowBlank="1" type="list">
      <formula1>"Orange,Airtel,Africell,Vodacom,Autre"</formula1>
    </dataValidation>
    <dataValidation sqref="B6" showDropDown="0" showInputMessage="0" showErrorMessage="0" allowBlank="1" type="list">
      <formula1>"CDF,USD"</formula1>
    </dataValidation>
  </dataValidation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9" t="inlineStr">
        <is>
          <t>VBA — Code à coller dans Excel (Alt+F11 &gt; Insertion &gt; Module)</t>
        </is>
      </c>
    </row>
    <row r="3">
      <c r="A3" s="60" t="inlineStr">
        <is>
          <t>Option Explicit</t>
        </is>
      </c>
    </row>
    <row r="4">
      <c r="A4" s="60" t="inlineStr"/>
    </row>
    <row r="5">
      <c r="A5" s="60" t="inlineStr">
        <is>
          <t>'========================</t>
        </is>
      </c>
    </row>
    <row r="6">
      <c r="A6" s="60" t="inlineStr">
        <is>
          <t>' PROLOGICIEL TKS — VERSION APPLICATION</t>
        </is>
      </c>
    </row>
    <row r="7">
      <c r="A7" s="60" t="inlineStr">
        <is>
          <t>'========================</t>
        </is>
      </c>
    </row>
    <row r="8">
      <c r="A8" s="60" t="inlineStr">
        <is>
          <t>' Étapes:</t>
        </is>
      </c>
    </row>
    <row r="9">
      <c r="A9" s="60" t="inlineStr">
        <is>
          <t>' 1) Ouvre ce fichier</t>
        </is>
      </c>
    </row>
    <row r="10">
      <c r="A10" s="60" t="inlineStr">
        <is>
          <t>' 2) Fichier &gt; Enregistrer sous &gt; Type: Classeur Excel prenant en charge les macros (*.xlsm)</t>
        </is>
      </c>
    </row>
    <row r="11">
      <c r="A11" s="60" t="inlineStr">
        <is>
          <t>' 3) Alt + F11 &gt; Insertion &gt; Module &gt; colle ce code</t>
        </is>
      </c>
    </row>
    <row r="12">
      <c r="A12" s="60" t="inlineStr">
        <is>
          <t>' 4) Reviens sur les formulaires:</t>
        </is>
      </c>
    </row>
    <row r="13">
      <c r="A13" s="60" t="inlineStr">
        <is>
          <t>'    - Clic droit sur la cellule "💾 ENREGISTRER" &gt; Affecter une macro</t>
        </is>
      </c>
    </row>
    <row r="14">
      <c r="A14" s="60" t="inlineStr">
        <is>
          <t>'    - Choisis la macro correspondante (Enregistrer_Dette, Enregistrer_Airtime, Enregistrer_Cash, Enregistrer_Virtuel)</t>
        </is>
      </c>
    </row>
    <row r="15">
      <c r="A15" s="60" t="inlineStr"/>
    </row>
    <row r="16">
      <c r="A16" s="60" t="inlineStr">
        <is>
          <t>Private Function Nz(v, Optional fallback As Variant = 0) As Variant</t>
        </is>
      </c>
    </row>
    <row r="17">
      <c r="A17" s="60" t="inlineStr">
        <is>
          <t xml:space="preserve">    If IsError(v) Then Nz = fallback: Exit Function</t>
        </is>
      </c>
    </row>
    <row r="18">
      <c r="A18" s="60" t="inlineStr">
        <is>
          <t xml:space="preserve">    If IsEmpty(v) Or v = "" Then Nz = fallback Else Nz = v</t>
        </is>
      </c>
    </row>
    <row r="19">
      <c r="A19" s="60" t="inlineStr">
        <is>
          <t>End Function</t>
        </is>
      </c>
    </row>
    <row r="20">
      <c r="A20" s="60" t="inlineStr"/>
    </row>
    <row r="21">
      <c r="A21" s="60" t="inlineStr">
        <is>
          <t>Private Sub AppendToTable(ByVal sheetName As String, ByVal tableName As String, ByVal valuesArr As Variant)</t>
        </is>
      </c>
    </row>
    <row r="22">
      <c r="A22" s="60" t="inlineStr">
        <is>
          <t xml:space="preserve">    Dim ws As Worksheet, lo As ListObject, lr As ListRow</t>
        </is>
      </c>
    </row>
    <row r="23">
      <c r="A23" s="60" t="inlineStr">
        <is>
          <t xml:space="preserve">    Set ws = ThisWorkbook.Worksheets(sheetName)</t>
        </is>
      </c>
    </row>
    <row r="24">
      <c r="A24" s="60" t="inlineStr">
        <is>
          <t xml:space="preserve">    Set lo = ws.ListObjects(tableName)</t>
        </is>
      </c>
    </row>
    <row r="25">
      <c r="A25" s="60" t="inlineStr">
        <is>
          <t xml:space="preserve">    Set lr = lo.ListRows.Add</t>
        </is>
      </c>
    </row>
    <row r="26">
      <c r="A26" s="60" t="inlineStr">
        <is>
          <t xml:space="preserve">    lr.Range.Cells(1, 1).Resize(1, UBound(valuesArr) + 1).Value = valuesArr</t>
        </is>
      </c>
    </row>
    <row r="27">
      <c r="A27" s="60" t="inlineStr">
        <is>
          <t>End Sub</t>
        </is>
      </c>
    </row>
    <row r="28">
      <c r="A28" s="60" t="inlineStr"/>
    </row>
    <row r="29">
      <c r="A29" s="60" t="inlineStr">
        <is>
          <t>Public Sub Enregistrer_Dette()</t>
        </is>
      </c>
    </row>
    <row r="30">
      <c r="A30" s="60" t="inlineStr">
        <is>
          <t xml:space="preserve">    Dim cClient As String, dte As Variant</t>
        </is>
      </c>
    </row>
    <row r="31">
      <c r="A31" s="60" t="inlineStr">
        <is>
          <t xml:space="preserve">    Dim detteCDF As Double, detteUSD As Double, pay As Double</t>
        </is>
      </c>
    </row>
    <row r="32">
      <c r="A32" s="60" t="inlineStr"/>
    </row>
    <row r="33">
      <c r="A33" s="60" t="inlineStr">
        <is>
          <t xml:space="preserve">    cClient = Trim(ThisWorkbook.Names("inpClient").RefersToRange.Value)</t>
        </is>
      </c>
    </row>
    <row r="34">
      <c r="A34" s="60" t="inlineStr">
        <is>
          <t xml:space="preserve">    dte = ThisWorkbook.Names("inpDate").RefersToRange.Value</t>
        </is>
      </c>
    </row>
    <row r="35">
      <c r="A35" s="60" t="inlineStr">
        <is>
          <t xml:space="preserve">    detteCDF = CDbl(Nz(ThisWorkbook.Names("inpDetteCDF").RefersToRange.Value, 0))</t>
        </is>
      </c>
    </row>
    <row r="36">
      <c r="A36" s="60" t="inlineStr">
        <is>
          <t xml:space="preserve">    detteUSD = CDbl(Nz(ThisWorkbook.Names("inpDetteUSD").RefersToRange.Value, 0))</t>
        </is>
      </c>
    </row>
    <row r="37">
      <c r="A37" s="60" t="inlineStr">
        <is>
          <t xml:space="preserve">    pay = CDbl(Nz(ThisWorkbook.Names("inpPaiement").RefersToRange.Value, 0))</t>
        </is>
      </c>
    </row>
    <row r="38">
      <c r="A38" s="60" t="inlineStr"/>
    </row>
    <row r="39">
      <c r="A39" s="60" t="inlineStr">
        <is>
          <t xml:space="preserve">    If cClient = "" Then</t>
        </is>
      </c>
    </row>
    <row r="40">
      <c r="A40" s="60" t="inlineStr">
        <is>
          <t xml:space="preserve">        MsgBox "Veuillez saisir le nom du client.", vbExclamation</t>
        </is>
      </c>
    </row>
    <row r="41">
      <c r="A41" s="60" t="inlineStr">
        <is>
          <t xml:space="preserve">        Exit Sub</t>
        </is>
      </c>
    </row>
    <row r="42">
      <c r="A42" s="60" t="inlineStr">
        <is>
          <t xml:space="preserve">    End If</t>
        </is>
      </c>
    </row>
    <row r="43">
      <c r="A43" s="60" t="inlineStr">
        <is>
          <t xml:space="preserve">    If dte = "" Then dte = Date</t>
        </is>
      </c>
    </row>
    <row r="44">
      <c r="A44" s="60" t="inlineStr"/>
    </row>
    <row r="45">
      <c r="A45" s="60" t="inlineStr">
        <is>
          <t xml:space="preserve">    'Table: Dettes Clients / T_DettesClients</t>
        </is>
      </c>
    </row>
    <row r="46">
      <c r="A46" s="60" t="inlineStr">
        <is>
          <t xml:space="preserve">    AppendToTable "Dettes Clients", "T_DettesClients", Array(cClient, dte, detteCDF, detteUSD, pay, "", "", "")</t>
        </is>
      </c>
    </row>
    <row r="47">
      <c r="A47" s="60" t="inlineStr"/>
    </row>
    <row r="48">
      <c r="A48" s="60" t="inlineStr">
        <is>
          <t xml:space="preserve">    ThisWorkbook.Names("inpClient").RefersToRange.Value = ""</t>
        </is>
      </c>
    </row>
    <row r="49">
      <c r="A49" s="60" t="inlineStr">
        <is>
          <t xml:space="preserve">    ThisWorkbook.Names("inpDate").RefersToRange.Value = ""</t>
        </is>
      </c>
    </row>
    <row r="50">
      <c r="A50" s="60" t="inlineStr">
        <is>
          <t xml:space="preserve">    ThisWorkbook.Names("inpDetteCDF").RefersToRange.Value = ""</t>
        </is>
      </c>
    </row>
    <row r="51">
      <c r="A51" s="60" t="inlineStr">
        <is>
          <t xml:space="preserve">    ThisWorkbook.Names("inpDetteUSD").RefersToRange.Value = ""</t>
        </is>
      </c>
    </row>
    <row r="52">
      <c r="A52" s="60" t="inlineStr">
        <is>
          <t xml:space="preserve">    ThisWorkbook.Names("inpPaiement").RefersToRange.Value = ""</t>
        </is>
      </c>
    </row>
    <row r="53">
      <c r="A53" s="60" t="inlineStr"/>
    </row>
    <row r="54">
      <c r="A54" s="60" t="inlineStr">
        <is>
          <t xml:space="preserve">    MsgBox "Dette enregistrée ✅", vbInformation</t>
        </is>
      </c>
    </row>
    <row r="55">
      <c r="A55" s="60" t="inlineStr">
        <is>
          <t>End Sub</t>
        </is>
      </c>
    </row>
    <row r="56">
      <c r="A56" s="60" t="inlineStr"/>
    </row>
    <row r="57">
      <c r="A57" s="60" t="inlineStr">
        <is>
          <t>Public Sub Enregistrer_Airtime()</t>
        </is>
      </c>
    </row>
    <row r="58">
      <c r="A58" s="60" t="inlineStr">
        <is>
          <t xml:space="preserve">    Dim dte As Variant, reseau As String</t>
        </is>
      </c>
    </row>
    <row r="59">
      <c r="A59" s="60" t="inlineStr">
        <is>
          <t xml:space="preserve">    Dim unites As Double, valCDF As Double, valUSD As Double</t>
        </is>
      </c>
    </row>
    <row r="60">
      <c r="A60" s="60" t="inlineStr"/>
    </row>
    <row r="61">
      <c r="A61" s="60" t="inlineStr">
        <is>
          <t xml:space="preserve">    dte = ThisWorkbook.Names("inpA_Date").RefersToRange.Value</t>
        </is>
      </c>
    </row>
    <row r="62">
      <c r="A62" s="60" t="inlineStr">
        <is>
          <t xml:space="preserve">    reseau = Trim(ThisWorkbook.Names("inpA_Reseau").RefersToRange.Value)</t>
        </is>
      </c>
    </row>
    <row r="63">
      <c r="A63" s="60" t="inlineStr">
        <is>
          <t xml:space="preserve">    unites = CDbl(Nz(ThisWorkbook.Names("inpA_Unites").RefersToRange.Value, 0))</t>
        </is>
      </c>
    </row>
    <row r="64">
      <c r="A64" s="60" t="inlineStr">
        <is>
          <t xml:space="preserve">    valCDF = CDbl(Nz(ThisWorkbook.Names("inpA_ValCDF").RefersToRange.Value, 0))</t>
        </is>
      </c>
    </row>
    <row r="65">
      <c r="A65" s="60" t="inlineStr">
        <is>
          <t xml:space="preserve">    valUSD = CDbl(Nz(ThisWorkbook.Names("inpA_ValUSD").RefersToRange.Value, 0))</t>
        </is>
      </c>
    </row>
    <row r="66">
      <c r="A66" s="60" t="inlineStr"/>
    </row>
    <row r="67">
      <c r="A67" s="60" t="inlineStr">
        <is>
          <t xml:space="preserve">    If dte = "" Then dte = Date</t>
        </is>
      </c>
    </row>
    <row r="68">
      <c r="A68" s="60" t="inlineStr">
        <is>
          <t xml:space="preserve">    If reseau = "" Then</t>
        </is>
      </c>
    </row>
    <row r="69">
      <c r="A69" s="60" t="inlineStr">
        <is>
          <t xml:space="preserve">        MsgBox "Veuillez choisir un réseau.", vbExclamation</t>
        </is>
      </c>
    </row>
    <row r="70">
      <c r="A70" s="60" t="inlineStr">
        <is>
          <t xml:space="preserve">        Exit Sub</t>
        </is>
      </c>
    </row>
    <row r="71">
      <c r="A71" s="60" t="inlineStr">
        <is>
          <t xml:space="preserve">    End If</t>
        </is>
      </c>
    </row>
    <row r="72">
      <c r="A72" s="60" t="inlineStr"/>
    </row>
    <row r="73">
      <c r="A73" s="60" t="inlineStr">
        <is>
          <t xml:space="preserve">    'Table: Réalisations Airtime / T_Airtime</t>
        </is>
      </c>
    </row>
    <row r="74">
      <c r="A74" s="60" t="inlineStr">
        <is>
          <t xml:space="preserve">    AppendToTable "Réalisations Airtime", "T_Airtime", Array(dte, reseau, unites, valCDF, valUSD)</t>
        </is>
      </c>
    </row>
    <row r="75">
      <c r="A75" s="60" t="inlineStr"/>
    </row>
    <row r="76">
      <c r="A76" s="60" t="inlineStr">
        <is>
          <t xml:space="preserve">    ThisWorkbook.Names("inpA_Date").RefersToRange.Value = ""</t>
        </is>
      </c>
    </row>
    <row r="77">
      <c r="A77" s="60" t="inlineStr">
        <is>
          <t xml:space="preserve">    ThisWorkbook.Names("inpA_Reseau").RefersToRange.Value = ""</t>
        </is>
      </c>
    </row>
    <row r="78">
      <c r="A78" s="60" t="inlineStr">
        <is>
          <t xml:space="preserve">    ThisWorkbook.Names("inpA_Unites").RefersToRange.Value = ""</t>
        </is>
      </c>
    </row>
    <row r="79">
      <c r="A79" s="60" t="inlineStr">
        <is>
          <t xml:space="preserve">    ThisWorkbook.Names("inpA_ValCDF").RefersToRange.Value = ""</t>
        </is>
      </c>
    </row>
    <row r="80">
      <c r="A80" s="60" t="inlineStr">
        <is>
          <t xml:space="preserve">    ThisWorkbook.Names("inpA_ValUSD").RefersToRange.Value = ""</t>
        </is>
      </c>
    </row>
    <row r="81">
      <c r="A81" s="60" t="inlineStr"/>
    </row>
    <row r="82">
      <c r="A82" s="60" t="inlineStr">
        <is>
          <t xml:space="preserve">    MsgBox "Airtime enregistré ✅", vbInformation</t>
        </is>
      </c>
    </row>
    <row r="83">
      <c r="A83" s="60" t="inlineStr">
        <is>
          <t>End Sub</t>
        </is>
      </c>
    </row>
    <row r="84">
      <c r="A84" s="60" t="inlineStr"/>
    </row>
    <row r="85">
      <c r="A85" s="60" t="inlineStr">
        <is>
          <t>Public Sub Enregistrer_Cash()</t>
        </is>
      </c>
    </row>
    <row r="86">
      <c r="A86" s="60" t="inlineStr">
        <is>
          <t xml:space="preserve">    Dim dte As Variant, dev As String</t>
        </is>
      </c>
    </row>
    <row r="87">
      <c r="A87" s="60" t="inlineStr">
        <is>
          <t xml:space="preserve">    Dim montant As Double</t>
        </is>
      </c>
    </row>
    <row r="88">
      <c r="A88" s="60" t="inlineStr">
        <is>
          <t xml:space="preserve">    Dim usd As Double, cdf As Double</t>
        </is>
      </c>
    </row>
    <row r="89">
      <c r="A89" s="60" t="inlineStr"/>
    </row>
    <row r="90">
      <c r="A90" s="60" t="inlineStr">
        <is>
          <t xml:space="preserve">    dte = ThisWorkbook.Names("inpC_Date").RefersToRange.Value</t>
        </is>
      </c>
    </row>
    <row r="91">
      <c r="A91" s="60" t="inlineStr">
        <is>
          <t xml:space="preserve">    dev = UCase(Trim(ThisWorkbook.Names("inpC_Devise").RefersToRange.Value))</t>
        </is>
      </c>
    </row>
    <row r="92">
      <c r="A92" s="60" t="inlineStr">
        <is>
          <t xml:space="preserve">    montant = CDbl(Nz(ThisWorkbook.Names("inpC_Montant").RefersToRange.Value, 0))</t>
        </is>
      </c>
    </row>
    <row r="93">
      <c r="A93" s="60" t="inlineStr"/>
    </row>
    <row r="94">
      <c r="A94" s="60" t="inlineStr">
        <is>
          <t xml:space="preserve">    If dte = "" Then dte = Date</t>
        </is>
      </c>
    </row>
    <row r="95">
      <c r="A95" s="60" t="inlineStr">
        <is>
          <t xml:space="preserve">    If dev &lt;&gt; "USD" And dev &lt;&gt; "CDF" Then</t>
        </is>
      </c>
    </row>
    <row r="96">
      <c r="A96" s="60" t="inlineStr">
        <is>
          <t xml:space="preserve">        MsgBox "Veuillez choisir la devise (CDF ou USD).", vbExclamation</t>
        </is>
      </c>
    </row>
    <row r="97">
      <c r="A97" s="60" t="inlineStr">
        <is>
          <t xml:space="preserve">        Exit Sub</t>
        </is>
      </c>
    </row>
    <row r="98">
      <c r="A98" s="60" t="inlineStr">
        <is>
          <t xml:space="preserve">    End If</t>
        </is>
      </c>
    </row>
    <row r="99">
      <c r="A99" s="60" t="inlineStr"/>
    </row>
    <row r="100">
      <c r="A100" s="60" t="inlineStr">
        <is>
          <t xml:space="preserve">    usd = 0: cdf = 0</t>
        </is>
      </c>
    </row>
    <row r="101">
      <c r="A101" s="60" t="inlineStr">
        <is>
          <t xml:space="preserve">    If dev = "USD" Then usd = montant Else cdf = montant</t>
        </is>
      </c>
    </row>
    <row r="102">
      <c r="A102" s="60" t="inlineStr"/>
    </row>
    <row r="103">
      <c r="A103" s="60" t="inlineStr">
        <is>
          <t xml:space="preserve">    'Table: Cash / TCash (Date, Montant USD, Montant CDF)</t>
        </is>
      </c>
    </row>
    <row r="104">
      <c r="A104" s="60" t="inlineStr">
        <is>
          <t xml:space="preserve">    AppendToTable "Cash", "TCash", Array(dte, usd, cdf)</t>
        </is>
      </c>
    </row>
    <row r="105">
      <c r="A105" s="60" t="inlineStr"/>
    </row>
    <row r="106">
      <c r="A106" s="60" t="inlineStr">
        <is>
          <t xml:space="preserve">    ThisWorkbook.Names("inpC_Date").RefersToRange.Value = ""</t>
        </is>
      </c>
    </row>
    <row r="107">
      <c r="A107" s="60" t="inlineStr">
        <is>
          <t xml:space="preserve">    ThisWorkbook.Names("inpC_Devise").RefersToRange.Value = ""</t>
        </is>
      </c>
    </row>
    <row r="108">
      <c r="A108" s="60" t="inlineStr">
        <is>
          <t xml:space="preserve">    ThisWorkbook.Names("inpC_Montant").RefersToRange.Value = ""</t>
        </is>
      </c>
    </row>
    <row r="109">
      <c r="A109" s="60" t="inlineStr">
        <is>
          <t xml:space="preserve">    ThisWorkbook.Names("inpC_Desc").RefersToRange.Value = ""</t>
        </is>
      </c>
    </row>
    <row r="110">
      <c r="A110" s="60" t="inlineStr"/>
    </row>
    <row r="111">
      <c r="A111" s="60" t="inlineStr">
        <is>
          <t xml:space="preserve">    MsgBox "Cash enregistré ✅", vbInformation</t>
        </is>
      </c>
    </row>
    <row r="112">
      <c r="A112" s="60" t="inlineStr">
        <is>
          <t>End Sub</t>
        </is>
      </c>
    </row>
    <row r="113">
      <c r="A113" s="60" t="inlineStr"/>
    </row>
    <row r="114">
      <c r="A114" s="60" t="inlineStr">
        <is>
          <t>Public Sub Enregistrer_Virtuel()</t>
        </is>
      </c>
    </row>
    <row r="115">
      <c r="A115" s="60" t="inlineStr">
        <is>
          <t xml:space="preserve">    Dim dte As Variant, reseau As String, dev As String</t>
        </is>
      </c>
    </row>
    <row r="116">
      <c r="A116" s="60" t="inlineStr">
        <is>
          <t xml:space="preserve">    Dim montant As Double</t>
        </is>
      </c>
    </row>
    <row r="117">
      <c r="A117" s="60" t="inlineStr">
        <is>
          <t xml:space="preserve">    Dim cdf As Double, usd As Double</t>
        </is>
      </c>
    </row>
    <row r="118">
      <c r="A118" s="60" t="inlineStr"/>
    </row>
    <row r="119">
      <c r="A119" s="60" t="inlineStr">
        <is>
          <t xml:space="preserve">    dte = ThisWorkbook.Names("inpV_Date").RefersToRange.Value</t>
        </is>
      </c>
    </row>
    <row r="120">
      <c r="A120" s="60" t="inlineStr">
        <is>
          <t xml:space="preserve">    reseau = Trim(ThisWorkbook.Names("inpV_Reseau").RefersToRange.Value)</t>
        </is>
      </c>
    </row>
    <row r="121">
      <c r="A121" s="60" t="inlineStr">
        <is>
          <t xml:space="preserve">    dev = UCase(Trim(ThisWorkbook.Names("inpV_Devise").RefersToRange.Value))</t>
        </is>
      </c>
    </row>
    <row r="122">
      <c r="A122" s="60" t="inlineStr">
        <is>
          <t xml:space="preserve">    montant = CDbl(Nz(ThisWorkbook.Names("inpV_Montant").RefersToRange.Value, 0))</t>
        </is>
      </c>
    </row>
    <row r="123">
      <c r="A123" s="60" t="inlineStr"/>
    </row>
    <row r="124">
      <c r="A124" s="60" t="inlineStr">
        <is>
          <t xml:space="preserve">    If dte = "" Then dte = Date</t>
        </is>
      </c>
    </row>
    <row r="125">
      <c r="A125" s="60" t="inlineStr">
        <is>
          <t xml:space="preserve">    If reseau = "" Then</t>
        </is>
      </c>
    </row>
    <row r="126">
      <c r="A126" s="60" t="inlineStr">
        <is>
          <t xml:space="preserve">        MsgBox "Veuillez choisir un réseau.", vbExclamation</t>
        </is>
      </c>
    </row>
    <row r="127">
      <c r="A127" s="60" t="inlineStr">
        <is>
          <t xml:space="preserve">        Exit Sub</t>
        </is>
      </c>
    </row>
    <row r="128">
      <c r="A128" s="60" t="inlineStr">
        <is>
          <t xml:space="preserve">    End If</t>
        </is>
      </c>
    </row>
    <row r="129">
      <c r="A129" s="60" t="inlineStr">
        <is>
          <t xml:space="preserve">    If dev &lt;&gt; "USD" And dev &lt;&gt; "CDF" Then</t>
        </is>
      </c>
    </row>
    <row r="130">
      <c r="A130" s="60" t="inlineStr">
        <is>
          <t xml:space="preserve">        MsgBox "Veuillez choisir la devise (CDF ou USD).", vbExclamation</t>
        </is>
      </c>
    </row>
    <row r="131">
      <c r="A131" s="60" t="inlineStr">
        <is>
          <t xml:space="preserve">        Exit Sub</t>
        </is>
      </c>
    </row>
    <row r="132">
      <c r="A132" s="60" t="inlineStr">
        <is>
          <t xml:space="preserve">    End If</t>
        </is>
      </c>
    </row>
    <row r="133">
      <c r="A133" s="60" t="inlineStr"/>
    </row>
    <row r="134">
      <c r="A134" s="60" t="inlineStr">
        <is>
          <t xml:space="preserve">    cdf = 0: usd = 0</t>
        </is>
      </c>
    </row>
    <row r="135">
      <c r="A135" s="60" t="inlineStr">
        <is>
          <t xml:space="preserve">    If dev = "USD" Then usd = montant Else cdf = montant</t>
        </is>
      </c>
    </row>
    <row r="136">
      <c r="A136" s="60" t="inlineStr"/>
    </row>
    <row r="137">
      <c r="A137" s="60" t="inlineStr">
        <is>
          <t xml:space="preserve">    'Table: Virtuel / T_Virtuel (Date, Réseau, Montant CDF, Montant USD)</t>
        </is>
      </c>
    </row>
    <row r="138">
      <c r="A138" s="60" t="inlineStr">
        <is>
          <t xml:space="preserve">    AppendToTable "Virtuel", "T_Virtuel", Array(dte, reseau, cdf, usd)</t>
        </is>
      </c>
    </row>
    <row r="139">
      <c r="A139" s="60" t="inlineStr"/>
    </row>
    <row r="140">
      <c r="A140" s="60" t="inlineStr">
        <is>
          <t xml:space="preserve">    ThisWorkbook.Names("inpV_Date").RefersToRange.Value = ""</t>
        </is>
      </c>
    </row>
    <row r="141">
      <c r="A141" s="60" t="inlineStr">
        <is>
          <t xml:space="preserve">    ThisWorkbook.Names("inpV_Reseau").RefersToRange.Value = ""</t>
        </is>
      </c>
    </row>
    <row r="142">
      <c r="A142" s="60" t="inlineStr">
        <is>
          <t xml:space="preserve">    ThisWorkbook.Names("inpV_Devise").RefersToRange.Value = ""</t>
        </is>
      </c>
    </row>
    <row r="143">
      <c r="A143" s="60" t="inlineStr">
        <is>
          <t xml:space="preserve">    ThisWorkbook.Names("inpV_Montant").RefersToRange.Value = ""</t>
        </is>
      </c>
    </row>
    <row r="144">
      <c r="A144" s="60" t="inlineStr">
        <is>
          <t xml:space="preserve">    ThisWorkbook.Names("inpV_Desc").RefersToRange.Value = ""</t>
        </is>
      </c>
    </row>
    <row r="145">
      <c r="A145" s="60" t="inlineStr"/>
    </row>
    <row r="146">
      <c r="A146" s="60" t="inlineStr">
        <is>
          <t xml:space="preserve">    MsgBox "Virtuel enregistré ✅", vbInformation</t>
        </is>
      </c>
    </row>
    <row r="147">
      <c r="A147" s="60" t="inlineStr">
        <is>
          <t>End Sub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" customWidth="1" min="2" max="2"/>
    <col width="18" customWidth="1" min="3" max="3"/>
    <col width="2" customWidth="1" min="4" max="4"/>
    <col width="10" customWidth="1" min="5" max="5"/>
    <col width="10" customWidth="1" min="6" max="6"/>
  </cols>
  <sheetData>
    <row r="1" ht="22" customHeight="1">
      <c r="A1" s="28" t="inlineStr">
        <is>
          <t>Listes (pour menus déroulants)</t>
        </is>
      </c>
      <c r="B1" s="29" t="n"/>
      <c r="C1" s="29" t="n"/>
      <c r="D1" s="29" t="n"/>
      <c r="E1" s="29" t="n"/>
      <c r="F1" s="30" t="n"/>
    </row>
    <row r="3">
      <c r="A3" t="inlineStr">
        <is>
          <t>Réseaux</t>
        </is>
      </c>
      <c r="C3" t="inlineStr">
        <is>
          <t>Modes paiement</t>
        </is>
      </c>
      <c r="E3" t="inlineStr">
        <is>
          <t>Devises</t>
        </is>
      </c>
    </row>
    <row r="4">
      <c r="A4" t="inlineStr">
        <is>
          <t>Orange</t>
        </is>
      </c>
      <c r="C4" t="inlineStr">
        <is>
          <t>Cash</t>
        </is>
      </c>
      <c r="E4" t="inlineStr">
        <is>
          <t>CDF</t>
        </is>
      </c>
    </row>
    <row r="5">
      <c r="A5" t="inlineStr">
        <is>
          <t>Airtel</t>
        </is>
      </c>
      <c r="C5" t="inlineStr">
        <is>
          <t>E-money</t>
        </is>
      </c>
      <c r="E5" t="inlineStr">
        <is>
          <t>USD</t>
        </is>
      </c>
    </row>
    <row r="6">
      <c r="A6" t="inlineStr">
        <is>
          <t>Africell</t>
        </is>
      </c>
      <c r="C6" t="inlineStr">
        <is>
          <t>Banque</t>
        </is>
      </c>
    </row>
    <row r="7">
      <c r="A7" t="inlineStr">
        <is>
          <t>Vodacom</t>
        </is>
      </c>
      <c r="C7" t="inlineStr">
        <is>
          <t>Autre</t>
        </is>
      </c>
    </row>
    <row r="8">
      <c r="A8" t="inlineStr">
        <is>
          <t>Autre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31" t="inlineStr">
        <is>
          <t>MODE D'EMPLOI - Prologiciel TKS (5 Tableaux + Dashboard)</t>
        </is>
      </c>
    </row>
    <row r="3">
      <c r="A3" s="32" t="inlineStr">
        <is>
          <t>1) Remplissez les tableaux : Dettes Clients, Réalisations Airtime, Cash, Virtuel, Mes dettes.</t>
        </is>
      </c>
    </row>
    <row r="4">
      <c r="A4" s="32" t="inlineStr">
        <is>
          <t>2) Utilisez les menus déroulants (Réseaux) dans Airtime / Virtuel / Objectif Airtime.</t>
        </is>
      </c>
    </row>
    <row r="5">
      <c r="A5" s="32" t="inlineStr">
        <is>
          <t>3) Le Dashboard se met à jour automatiquement (totaux).</t>
        </is>
      </c>
    </row>
    <row r="6">
      <c r="A6" s="32" t="inlineStr">
        <is>
          <t>4) Dans 'Synthèse Dettes', mettez la liste des clients en colonne A (à partir de la ligne 4) pour obtenir les totaux par client.</t>
        </is>
      </c>
    </row>
    <row r="7">
      <c r="A7" s="32" t="inlineStr">
        <is>
          <t>5) Astuce: Filtrez les tableaux (flèches) pour voir par date, réseau, client.</t>
        </is>
      </c>
    </row>
    <row r="8">
      <c r="A8" s="32" t="n"/>
    </row>
    <row r="9">
      <c r="A9" s="32" t="inlineStr">
        <is>
          <t>NB: Les zones vides ne seront pas comptées.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" customWidth="1" min="3" max="3"/>
    <col width="22" customWidth="1" min="4" max="4"/>
    <col width="18" customWidth="1" min="5" max="5"/>
    <col width="3" customWidth="1" min="6" max="6"/>
    <col width="24" customWidth="1" min="7" max="7"/>
    <col width="20" customWidth="1" min="8" max="8"/>
  </cols>
  <sheetData>
    <row r="1" ht="28" customHeight="1">
      <c r="A1" s="33" t="inlineStr">
        <is>
          <t>DASHBOARD - Résumé Business</t>
        </is>
      </c>
      <c r="B1" s="34" t="n"/>
      <c r="C1" s="34" t="n"/>
      <c r="D1" s="34" t="n"/>
      <c r="E1" s="34" t="n"/>
      <c r="F1" s="34" t="n"/>
      <c r="G1" s="34" t="n"/>
      <c r="H1" s="35" t="n"/>
    </row>
    <row r="3">
      <c r="A3" s="36" t="inlineStr">
        <is>
          <t>Dettes Clients</t>
        </is>
      </c>
      <c r="B3" s="30" t="n"/>
      <c r="D3" s="36" t="inlineStr">
        <is>
          <t>Mes dettes</t>
        </is>
      </c>
      <c r="E3" s="30" t="n"/>
    </row>
    <row r="4">
      <c r="A4" s="37" t="inlineStr">
        <is>
          <t>Total dette CDF</t>
        </is>
      </c>
      <c r="B4" s="38">
        <f>SUM('Dettes Clients'!C2:C201)</f>
        <v/>
      </c>
      <c r="D4" s="37" t="inlineStr">
        <is>
          <t>Total Mes dettes USD</t>
        </is>
      </c>
      <c r="E4" s="38">
        <f>SUM('Mes dettes'!C2:C201)</f>
        <v/>
      </c>
    </row>
    <row r="5">
      <c r="A5" s="37" t="inlineStr">
        <is>
          <t>Total dette USD</t>
        </is>
      </c>
      <c r="B5" s="38">
        <f>SUM('Dettes Clients'!D2:D201)</f>
        <v/>
      </c>
      <c r="D5" s="37" t="inlineStr">
        <is>
          <t>Total Mes dettes CDF</t>
        </is>
      </c>
      <c r="E5" s="38">
        <f>SUM('Mes dettes'!D2:D201)</f>
        <v/>
      </c>
    </row>
    <row r="6">
      <c r="A6" s="37" t="inlineStr">
        <is>
          <t>Total paiements</t>
        </is>
      </c>
      <c r="B6" s="38">
        <f>SUM('Dettes Clients'!E2:E201)</f>
        <v/>
      </c>
      <c r="D6" s="37" t="inlineStr">
        <is>
          <t>Nb. créanciers</t>
        </is>
      </c>
      <c r="E6" s="38">
        <f>COUNTA('Mes dettes'!B2:B201)</f>
        <v/>
      </c>
    </row>
    <row r="7">
      <c r="A7" s="37" t="inlineStr">
        <is>
          <t>Reste à payer (total)</t>
        </is>
      </c>
      <c r="B7" s="38">
        <f>SUM('Dettes Clients'!F2:F201)</f>
        <v/>
      </c>
    </row>
    <row r="9">
      <c r="A9" s="36" t="inlineStr">
        <is>
          <t>Réalisations Airtime</t>
        </is>
      </c>
      <c r="B9" s="30" t="n"/>
      <c r="D9" s="36" t="inlineStr">
        <is>
          <t>Cash &amp; Virtuel</t>
        </is>
      </c>
      <c r="E9" s="30" t="n"/>
    </row>
    <row r="10">
      <c r="A10" s="37" t="inlineStr">
        <is>
          <t>Total valeur CDF</t>
        </is>
      </c>
      <c r="B10" s="38">
        <f>SUM('Réalisations Airtime'!D2:D201)</f>
        <v/>
      </c>
      <c r="D10" s="37" t="inlineStr">
        <is>
          <t>Cash total USD</t>
        </is>
      </c>
      <c r="E10" s="38">
        <f>SUM('Cash'!B2:B201)</f>
        <v/>
      </c>
    </row>
    <row r="11">
      <c r="A11" s="37" t="inlineStr">
        <is>
          <t>Total valeur USD</t>
        </is>
      </c>
      <c r="B11" s="38">
        <f>SUM('Réalisations Airtime'!E2:E201)</f>
        <v/>
      </c>
      <c r="D11" s="37" t="inlineStr">
        <is>
          <t>Cash total CDF</t>
        </is>
      </c>
      <c r="E11" s="38">
        <f>SUM('Cash'!C2:C201)</f>
        <v/>
      </c>
    </row>
    <row r="12">
      <c r="A12" s="37" t="inlineStr">
        <is>
          <t>Total unités</t>
        </is>
      </c>
      <c r="B12" s="38">
        <f>SUM('Réalisations Airtime'!C2:C201)</f>
        <v/>
      </c>
      <c r="D12" s="37" t="inlineStr">
        <is>
          <t>Virtuel total USD</t>
        </is>
      </c>
      <c r="E12" s="38">
        <f>SUM('Virtuel'!D2:D201)</f>
        <v/>
      </c>
    </row>
    <row r="13">
      <c r="D13" s="37" t="inlineStr">
        <is>
          <t>Virtuel total CDF</t>
        </is>
      </c>
      <c r="E13" s="38">
        <f>SUM('Virtuel'!C2:C201)</f>
        <v/>
      </c>
    </row>
    <row r="14">
      <c r="A14" s="36" t="inlineStr">
        <is>
          <t>Objectif Airtime</t>
        </is>
      </c>
      <c r="B14" s="30" t="n"/>
    </row>
    <row r="15">
      <c r="A15" s="37" t="inlineStr">
        <is>
          <t>Somme Montant du Jour</t>
        </is>
      </c>
      <c r="B15" s="38">
        <f>SUM('Objectif Airtime'!C2:C201)</f>
        <v/>
      </c>
    </row>
    <row r="16">
      <c r="A16" s="39" t="inlineStr">
        <is>
          <t>Note:</t>
        </is>
      </c>
      <c r="B16" s="39" t="inlineStr">
        <is>
          <t>Le 'Montant du mois' se répète par ligne (réseau+mois).</t>
        </is>
      </c>
    </row>
    <row r="17">
      <c r="A17" s="40" t="inlineStr">
        <is>
          <t>Synthèse par Réseau</t>
        </is>
      </c>
    </row>
    <row r="18">
      <c r="A18" s="41" t="inlineStr">
        <is>
          <t>Réseau</t>
        </is>
      </c>
      <c r="B18" s="41" t="inlineStr">
        <is>
          <t>Airtime CDF</t>
        </is>
      </c>
      <c r="C18" s="41" t="inlineStr">
        <is>
          <t>Airtime USD</t>
        </is>
      </c>
      <c r="D18" s="41" t="inlineStr">
        <is>
          <t>Virtuel CDF</t>
        </is>
      </c>
      <c r="E18" s="41" t="inlineStr">
        <is>
          <t>Virtuel USD</t>
        </is>
      </c>
    </row>
    <row r="19">
      <c r="A19" s="42" t="inlineStr">
        <is>
          <t>Orange</t>
        </is>
      </c>
      <c r="B19" s="43">
        <f>SUMIF('Réalisations Airtime'!B:B,A19,'Réalisations Airtime'!D:D)</f>
        <v/>
      </c>
      <c r="C19" s="43">
        <f>SUMIF('Réalisations Airtime'!B:B,A19,'Réalisations Airtime'!E:E)</f>
        <v/>
      </c>
      <c r="D19" s="43">
        <f>SUMIF('Virtuel'!B:B,A19,'Virtuel'!C:C)</f>
        <v/>
      </c>
      <c r="E19" s="43">
        <f>SUMIF('Virtuel'!B:B,A19,'Virtuel'!D:D)</f>
        <v/>
      </c>
    </row>
    <row r="20">
      <c r="A20" s="42" t="inlineStr">
        <is>
          <t>Africell</t>
        </is>
      </c>
      <c r="B20" s="43">
        <f>SUMIF('Réalisations Airtime'!B:B,A20,'Réalisations Airtime'!D:D)</f>
        <v/>
      </c>
      <c r="C20" s="43">
        <f>SUMIF('Réalisations Airtime'!B:B,A20,'Réalisations Airtime'!E:E)</f>
        <v/>
      </c>
      <c r="D20" s="43">
        <f>SUMIF('Virtuel'!B:B,A20,'Virtuel'!C:C)</f>
        <v/>
      </c>
      <c r="E20" s="43">
        <f>SUMIF('Virtuel'!B:B,A20,'Virtuel'!D:D)</f>
        <v/>
      </c>
    </row>
    <row r="21">
      <c r="A21" s="42" t="inlineStr">
        <is>
          <t>Airtel</t>
        </is>
      </c>
      <c r="B21" s="43">
        <f>SUMIF('Réalisations Airtime'!B:B,A21,'Réalisations Airtime'!D:D)</f>
        <v/>
      </c>
      <c r="C21" s="43">
        <f>SUMIF('Réalisations Airtime'!B:B,A21,'Réalisations Airtime'!E:E)</f>
        <v/>
      </c>
      <c r="D21" s="43">
        <f>SUMIF('Virtuel'!B:B,A21,'Virtuel'!C:C)</f>
        <v/>
      </c>
      <c r="E21" s="43">
        <f>SUMIF('Virtuel'!B:B,A21,'Virtuel'!D:D)</f>
        <v/>
      </c>
    </row>
  </sheetData>
  <mergeCells count="6">
    <mergeCell ref="D3:E3"/>
    <mergeCell ref="A14:B14"/>
    <mergeCell ref="A1:H1"/>
    <mergeCell ref="A9:B9"/>
    <mergeCell ref="D9:E9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</cols>
  <sheetData>
    <row r="1" ht="22" customHeight="1">
      <c r="A1" s="44" t="inlineStr">
        <is>
          <t>Client</t>
        </is>
      </c>
      <c r="B1" s="44" t="inlineStr">
        <is>
          <t>Date</t>
        </is>
      </c>
      <c r="C1" s="44" t="inlineStr">
        <is>
          <t>Montant dette CDF</t>
        </is>
      </c>
      <c r="D1" s="44" t="inlineStr">
        <is>
          <t>Montant dette USD</t>
        </is>
      </c>
      <c r="E1" s="44" t="inlineStr">
        <is>
          <t>Paiement effectué</t>
        </is>
      </c>
      <c r="F1" s="44" t="inlineStr">
        <is>
          <t>Reste à payer</t>
        </is>
      </c>
      <c r="G1" s="44" t="inlineStr">
        <is>
          <t>Jours (depuis date)</t>
        </is>
      </c>
      <c r="H1" s="44" t="inlineStr">
        <is>
          <t>Statut</t>
        </is>
      </c>
    </row>
    <row r="2">
      <c r="A2" s="45" t="n"/>
      <c r="B2" s="46" t="n"/>
      <c r="C2" s="47" t="n"/>
      <c r="D2" s="47" t="n"/>
      <c r="E2" s="47" t="n"/>
      <c r="F2" s="47">
        <f>IF(COUNTA(A2:E2)=0,"",(C2+D2)-E2)</f>
        <v/>
      </c>
      <c r="G2" s="48">
        <f>IF(B2="","",TODAY()-B2)</f>
        <v/>
      </c>
      <c r="H2" s="45">
        <f>IF(F2="","",IF(F2&lt;=0,"Payé","En cours"))</f>
        <v/>
      </c>
    </row>
    <row r="3">
      <c r="A3" s="45" t="n"/>
      <c r="B3" s="46" t="n"/>
      <c r="C3" s="47" t="n"/>
      <c r="D3" s="47" t="n"/>
      <c r="E3" s="47" t="n"/>
      <c r="F3" s="47">
        <f>IF(COUNTA(A3:E3)=0,"",(C3+D3)-E3)</f>
        <v/>
      </c>
      <c r="G3" s="48">
        <f>IF(B3="","",TODAY()-B3)</f>
        <v/>
      </c>
      <c r="H3" s="45">
        <f>IF(F3="","",IF(F3&lt;=0,"Payé","En cours"))</f>
        <v/>
      </c>
    </row>
    <row r="4">
      <c r="A4" s="45" t="n"/>
      <c r="B4" s="46" t="n"/>
      <c r="C4" s="47" t="n"/>
      <c r="D4" s="47" t="n"/>
      <c r="E4" s="47" t="n"/>
      <c r="F4" s="47">
        <f>IF(COUNTA(A4:E4)=0,"",(C4+D4)-E4)</f>
        <v/>
      </c>
      <c r="G4" s="48">
        <f>IF(B4="","",TODAY()-B4)</f>
        <v/>
      </c>
      <c r="H4" s="45">
        <f>IF(F4="","",IF(F4&lt;=0,"Payé","En cours"))</f>
        <v/>
      </c>
    </row>
    <row r="5">
      <c r="A5" s="45" t="n"/>
      <c r="B5" s="46" t="n"/>
      <c r="C5" s="47" t="n"/>
      <c r="D5" s="47" t="n"/>
      <c r="E5" s="47" t="n"/>
      <c r="F5" s="47">
        <f>IF(COUNTA(A5:E5)=0,"",(C5+D5)-E5)</f>
        <v/>
      </c>
      <c r="G5" s="48">
        <f>IF(B5="","",TODAY()-B5)</f>
        <v/>
      </c>
      <c r="H5" s="45">
        <f>IF(F5="","",IF(F5&lt;=0,"Payé","En cours"))</f>
        <v/>
      </c>
    </row>
    <row r="6">
      <c r="A6" s="45" t="n"/>
      <c r="B6" s="46" t="n"/>
      <c r="C6" s="47" t="n"/>
      <c r="D6" s="47" t="n"/>
      <c r="E6" s="47" t="n"/>
      <c r="F6" s="47">
        <f>IF(COUNTA(A6:E6)=0,"",(C6+D6)-E6)</f>
        <v/>
      </c>
      <c r="G6" s="48">
        <f>IF(B6="","",TODAY()-B6)</f>
        <v/>
      </c>
      <c r="H6" s="45">
        <f>IF(F6="","",IF(F6&lt;=0,"Payé","En cours"))</f>
        <v/>
      </c>
    </row>
    <row r="7">
      <c r="A7" s="45" t="n"/>
      <c r="B7" s="46" t="n"/>
      <c r="C7" s="47" t="n"/>
      <c r="D7" s="47" t="n"/>
      <c r="E7" s="47" t="n"/>
      <c r="F7" s="47">
        <f>IF(COUNTA(A7:E7)=0,"",(C7+D7)-E7)</f>
        <v/>
      </c>
      <c r="G7" s="48">
        <f>IF(B7="","",TODAY()-B7)</f>
        <v/>
      </c>
      <c r="H7" s="45">
        <f>IF(F7="","",IF(F7&lt;=0,"Payé","En cours"))</f>
        <v/>
      </c>
    </row>
    <row r="8">
      <c r="A8" s="45" t="n"/>
      <c r="B8" s="46" t="n"/>
      <c r="C8" s="47" t="n"/>
      <c r="D8" s="47" t="n"/>
      <c r="E8" s="47" t="n"/>
      <c r="F8" s="47">
        <f>IF(COUNTA(A8:E8)=0,"",(C8+D8)-E8)</f>
        <v/>
      </c>
      <c r="G8" s="48">
        <f>IF(B8="","",TODAY()-B8)</f>
        <v/>
      </c>
      <c r="H8" s="45">
        <f>IF(F8="","",IF(F8&lt;=0,"Payé","En cours"))</f>
        <v/>
      </c>
    </row>
    <row r="9">
      <c r="A9" s="45" t="n"/>
      <c r="B9" s="46" t="n"/>
      <c r="C9" s="47" t="n"/>
      <c r="D9" s="47" t="n"/>
      <c r="E9" s="47" t="n"/>
      <c r="F9" s="47">
        <f>IF(COUNTA(A9:E9)=0,"",(C9+D9)-E9)</f>
        <v/>
      </c>
      <c r="G9" s="48">
        <f>IF(B9="","",TODAY()-B9)</f>
        <v/>
      </c>
      <c r="H9" s="45">
        <f>IF(F9="","",IF(F9&lt;=0,"Payé","En cours"))</f>
        <v/>
      </c>
    </row>
    <row r="10">
      <c r="A10" s="45" t="n"/>
      <c r="B10" s="46" t="n"/>
      <c r="C10" s="47" t="n"/>
      <c r="D10" s="47" t="n"/>
      <c r="E10" s="47" t="n"/>
      <c r="F10" s="47">
        <f>IF(COUNTA(A10:E10)=0,"",(C10+D10)-E10)</f>
        <v/>
      </c>
      <c r="G10" s="48">
        <f>IF(B10="","",TODAY()-B10)</f>
        <v/>
      </c>
      <c r="H10" s="45">
        <f>IF(F10="","",IF(F10&lt;=0,"Payé","En cours"))</f>
        <v/>
      </c>
    </row>
    <row r="11">
      <c r="A11" s="45" t="n"/>
      <c r="B11" s="46" t="n"/>
      <c r="C11" s="47" t="n"/>
      <c r="D11" s="47" t="n"/>
      <c r="E11" s="47" t="n"/>
      <c r="F11" s="47">
        <f>IF(COUNTA(A11:E11)=0,"",(C11+D11)-E11)</f>
        <v/>
      </c>
      <c r="G11" s="48">
        <f>IF(B11="","",TODAY()-B11)</f>
        <v/>
      </c>
      <c r="H11" s="45">
        <f>IF(F11="","",IF(F11&lt;=0,"Payé","En cours"))</f>
        <v/>
      </c>
    </row>
    <row r="12">
      <c r="A12" s="45" t="n"/>
      <c r="B12" s="46" t="n"/>
      <c r="C12" s="47" t="n"/>
      <c r="D12" s="47" t="n"/>
      <c r="E12" s="47" t="n"/>
      <c r="F12" s="47">
        <f>IF(COUNTA(A12:E12)=0,"",(C12+D12)-E12)</f>
        <v/>
      </c>
      <c r="G12" s="48">
        <f>IF(B12="","",TODAY()-B12)</f>
        <v/>
      </c>
      <c r="H12" s="45">
        <f>IF(F12="","",IF(F12&lt;=0,"Payé","En cours"))</f>
        <v/>
      </c>
    </row>
    <row r="13">
      <c r="A13" s="45" t="n"/>
      <c r="B13" s="46" t="n"/>
      <c r="C13" s="47" t="n"/>
      <c r="D13" s="47" t="n"/>
      <c r="E13" s="47" t="n"/>
      <c r="F13" s="47">
        <f>IF(COUNTA(A13:E13)=0,"",(C13+D13)-E13)</f>
        <v/>
      </c>
      <c r="G13" s="48">
        <f>IF(B13="","",TODAY()-B13)</f>
        <v/>
      </c>
      <c r="H13" s="45">
        <f>IF(F13="","",IF(F13&lt;=0,"Payé","En cours"))</f>
        <v/>
      </c>
    </row>
    <row r="14">
      <c r="A14" s="45" t="n"/>
      <c r="B14" s="46" t="n"/>
      <c r="C14" s="47" t="n"/>
      <c r="D14" s="47" t="n"/>
      <c r="E14" s="47" t="n"/>
      <c r="F14" s="47">
        <f>IF(COUNTA(A14:E14)=0,"",(C14+D14)-E14)</f>
        <v/>
      </c>
      <c r="G14" s="48">
        <f>IF(B14="","",TODAY()-B14)</f>
        <v/>
      </c>
      <c r="H14" s="45">
        <f>IF(F14="","",IF(F14&lt;=0,"Payé","En cours"))</f>
        <v/>
      </c>
    </row>
    <row r="15">
      <c r="A15" s="45" t="n"/>
      <c r="B15" s="46" t="n"/>
      <c r="C15" s="47" t="n"/>
      <c r="D15" s="47" t="n"/>
      <c r="E15" s="47" t="n"/>
      <c r="F15" s="47">
        <f>IF(COUNTA(A15:E15)=0,"",(C15+D15)-E15)</f>
        <v/>
      </c>
      <c r="G15" s="48">
        <f>IF(B15="","",TODAY()-B15)</f>
        <v/>
      </c>
      <c r="H15" s="45">
        <f>IF(F15="","",IF(F15&lt;=0,"Payé","En cours"))</f>
        <v/>
      </c>
    </row>
    <row r="16">
      <c r="A16" s="45" t="n"/>
      <c r="B16" s="46" t="n"/>
      <c r="C16" s="47" t="n"/>
      <c r="D16" s="47" t="n"/>
      <c r="E16" s="47" t="n"/>
      <c r="F16" s="47">
        <f>IF(COUNTA(A16:E16)=0,"",(C16+D16)-E16)</f>
        <v/>
      </c>
      <c r="G16" s="48">
        <f>IF(B16="","",TODAY()-B16)</f>
        <v/>
      </c>
      <c r="H16" s="45">
        <f>IF(F16="","",IF(F16&lt;=0,"Payé","En cours"))</f>
        <v/>
      </c>
    </row>
    <row r="17">
      <c r="A17" s="45" t="n"/>
      <c r="B17" s="46" t="n"/>
      <c r="C17" s="47" t="n"/>
      <c r="D17" s="47" t="n"/>
      <c r="E17" s="47" t="n"/>
      <c r="F17" s="47">
        <f>IF(COUNTA(A17:E17)=0,"",(C17+D17)-E17)</f>
        <v/>
      </c>
      <c r="G17" s="48">
        <f>IF(B17="","",TODAY()-B17)</f>
        <v/>
      </c>
      <c r="H17" s="45">
        <f>IF(F17="","",IF(F17&lt;=0,"Payé","En cours"))</f>
        <v/>
      </c>
    </row>
    <row r="18">
      <c r="A18" s="45" t="n"/>
      <c r="B18" s="46" t="n"/>
      <c r="C18" s="47" t="n"/>
      <c r="D18" s="47" t="n"/>
      <c r="E18" s="47" t="n"/>
      <c r="F18" s="47">
        <f>IF(COUNTA(A18:E18)=0,"",(C18+D18)-E18)</f>
        <v/>
      </c>
      <c r="G18" s="48">
        <f>IF(B18="","",TODAY()-B18)</f>
        <v/>
      </c>
      <c r="H18" s="45">
        <f>IF(F18="","",IF(F18&lt;=0,"Payé","En cours"))</f>
        <v/>
      </c>
    </row>
    <row r="19">
      <c r="A19" s="45" t="n"/>
      <c r="B19" s="46" t="n"/>
      <c r="C19" s="47" t="n"/>
      <c r="D19" s="47" t="n"/>
      <c r="E19" s="47" t="n"/>
      <c r="F19" s="47">
        <f>IF(COUNTA(A19:E19)=0,"",(C19+D19)-E19)</f>
        <v/>
      </c>
      <c r="G19" s="48">
        <f>IF(B19="","",TODAY()-B19)</f>
        <v/>
      </c>
      <c r="H19" s="45">
        <f>IF(F19="","",IF(F19&lt;=0,"Payé","En cours"))</f>
        <v/>
      </c>
    </row>
    <row r="20">
      <c r="A20" s="45" t="n"/>
      <c r="B20" s="46" t="n"/>
      <c r="C20" s="47" t="n"/>
      <c r="D20" s="47" t="n"/>
      <c r="E20" s="47" t="n"/>
      <c r="F20" s="47">
        <f>IF(COUNTA(A20:E20)=0,"",(C20+D20)-E20)</f>
        <v/>
      </c>
      <c r="G20" s="48">
        <f>IF(B20="","",TODAY()-B20)</f>
        <v/>
      </c>
      <c r="H20" s="45">
        <f>IF(F20="","",IF(F20&lt;=0,"Payé","En cours"))</f>
        <v/>
      </c>
    </row>
    <row r="21">
      <c r="A21" s="45" t="n"/>
      <c r="B21" s="46" t="n"/>
      <c r="C21" s="47" t="n"/>
      <c r="D21" s="47" t="n"/>
      <c r="E21" s="47" t="n"/>
      <c r="F21" s="47">
        <f>IF(COUNTA(A21:E21)=0,"",(C21+D21)-E21)</f>
        <v/>
      </c>
      <c r="G21" s="48">
        <f>IF(B21="","",TODAY()-B21)</f>
        <v/>
      </c>
      <c r="H21" s="45">
        <f>IF(F21="","",IF(F21&lt;=0,"Payé","En cours"))</f>
        <v/>
      </c>
    </row>
    <row r="22">
      <c r="A22" s="45" t="n"/>
      <c r="B22" s="46" t="n"/>
      <c r="C22" s="47" t="n"/>
      <c r="D22" s="47" t="n"/>
      <c r="E22" s="47" t="n"/>
      <c r="F22" s="47">
        <f>IF(COUNTA(A22:E22)=0,"",(C22+D22)-E22)</f>
        <v/>
      </c>
      <c r="G22" s="48">
        <f>IF(B22="","",TODAY()-B22)</f>
        <v/>
      </c>
      <c r="H22" s="45">
        <f>IF(F22="","",IF(F22&lt;=0,"Payé","En cours"))</f>
        <v/>
      </c>
    </row>
    <row r="23">
      <c r="A23" s="45" t="n"/>
      <c r="B23" s="46" t="n"/>
      <c r="C23" s="47" t="n"/>
      <c r="D23" s="47" t="n"/>
      <c r="E23" s="47" t="n"/>
      <c r="F23" s="47">
        <f>IF(COUNTA(A23:E23)=0,"",(C23+D23)-E23)</f>
        <v/>
      </c>
      <c r="G23" s="48">
        <f>IF(B23="","",TODAY()-B23)</f>
        <v/>
      </c>
      <c r="H23" s="45">
        <f>IF(F23="","",IF(F23&lt;=0,"Payé","En cours"))</f>
        <v/>
      </c>
    </row>
    <row r="24">
      <c r="A24" s="45" t="n"/>
      <c r="B24" s="46" t="n"/>
      <c r="C24" s="47" t="n"/>
      <c r="D24" s="47" t="n"/>
      <c r="E24" s="47" t="n"/>
      <c r="F24" s="47">
        <f>IF(COUNTA(A24:E24)=0,"",(C24+D24)-E24)</f>
        <v/>
      </c>
      <c r="G24" s="48">
        <f>IF(B24="","",TODAY()-B24)</f>
        <v/>
      </c>
      <c r="H24" s="45">
        <f>IF(F24="","",IF(F24&lt;=0,"Payé","En cours"))</f>
        <v/>
      </c>
    </row>
    <row r="25">
      <c r="A25" s="45" t="n"/>
      <c r="B25" s="46" t="n"/>
      <c r="C25" s="47" t="n"/>
      <c r="D25" s="47" t="n"/>
      <c r="E25" s="47" t="n"/>
      <c r="F25" s="47">
        <f>IF(COUNTA(A25:E25)=0,"",(C25+D25)-E25)</f>
        <v/>
      </c>
      <c r="G25" s="48">
        <f>IF(B25="","",TODAY()-B25)</f>
        <v/>
      </c>
      <c r="H25" s="45">
        <f>IF(F25="","",IF(F25&lt;=0,"Payé","En cours"))</f>
        <v/>
      </c>
    </row>
    <row r="26">
      <c r="A26" s="45" t="n"/>
      <c r="B26" s="46" t="n"/>
      <c r="C26" s="47" t="n"/>
      <c r="D26" s="47" t="n"/>
      <c r="E26" s="47" t="n"/>
      <c r="F26" s="47">
        <f>IF(COUNTA(A26:E26)=0,"",(C26+D26)-E26)</f>
        <v/>
      </c>
      <c r="G26" s="48">
        <f>IF(B26="","",TODAY()-B26)</f>
        <v/>
      </c>
      <c r="H26" s="45">
        <f>IF(F26="","",IF(F26&lt;=0,"Payé","En cours"))</f>
        <v/>
      </c>
    </row>
    <row r="27">
      <c r="A27" s="45" t="n"/>
      <c r="B27" s="46" t="n"/>
      <c r="C27" s="47" t="n"/>
      <c r="D27" s="47" t="n"/>
      <c r="E27" s="47" t="n"/>
      <c r="F27" s="47">
        <f>IF(COUNTA(A27:E27)=0,"",(C27+D27)-E27)</f>
        <v/>
      </c>
      <c r="G27" s="48">
        <f>IF(B27="","",TODAY()-B27)</f>
        <v/>
      </c>
      <c r="H27" s="45">
        <f>IF(F27="","",IF(F27&lt;=0,"Payé","En cours"))</f>
        <v/>
      </c>
    </row>
    <row r="28">
      <c r="A28" s="45" t="n"/>
      <c r="B28" s="46" t="n"/>
      <c r="C28" s="47" t="n"/>
      <c r="D28" s="47" t="n"/>
      <c r="E28" s="47" t="n"/>
      <c r="F28" s="47">
        <f>IF(COUNTA(A28:E28)=0,"",(C28+D28)-E28)</f>
        <v/>
      </c>
      <c r="G28" s="48">
        <f>IF(B28="","",TODAY()-B28)</f>
        <v/>
      </c>
      <c r="H28" s="45">
        <f>IF(F28="","",IF(F28&lt;=0,"Payé","En cours"))</f>
        <v/>
      </c>
    </row>
    <row r="29">
      <c r="A29" s="45" t="n"/>
      <c r="B29" s="46" t="n"/>
      <c r="C29" s="47" t="n"/>
      <c r="D29" s="47" t="n"/>
      <c r="E29" s="47" t="n"/>
      <c r="F29" s="47">
        <f>IF(COUNTA(A29:E29)=0,"",(C29+D29)-E29)</f>
        <v/>
      </c>
      <c r="G29" s="48">
        <f>IF(B29="","",TODAY()-B29)</f>
        <v/>
      </c>
      <c r="H29" s="45">
        <f>IF(F29="","",IF(F29&lt;=0,"Payé","En cours"))</f>
        <v/>
      </c>
    </row>
    <row r="30">
      <c r="A30" s="45" t="n"/>
      <c r="B30" s="46" t="n"/>
      <c r="C30" s="47" t="n"/>
      <c r="D30" s="47" t="n"/>
      <c r="E30" s="47" t="n"/>
      <c r="F30" s="47">
        <f>IF(COUNTA(A30:E30)=0,"",(C30+D30)-E30)</f>
        <v/>
      </c>
      <c r="G30" s="48">
        <f>IF(B30="","",TODAY()-B30)</f>
        <v/>
      </c>
      <c r="H30" s="45">
        <f>IF(F30="","",IF(F30&lt;=0,"Payé","En cours"))</f>
        <v/>
      </c>
    </row>
    <row r="31">
      <c r="A31" s="45" t="n"/>
      <c r="B31" s="46" t="n"/>
      <c r="C31" s="47" t="n"/>
      <c r="D31" s="47" t="n"/>
      <c r="E31" s="47" t="n"/>
      <c r="F31" s="47">
        <f>IF(COUNTA(A31:E31)=0,"",(C31+D31)-E31)</f>
        <v/>
      </c>
      <c r="G31" s="48">
        <f>IF(B31="","",TODAY()-B31)</f>
        <v/>
      </c>
      <c r="H31" s="45">
        <f>IF(F31="","",IF(F31&lt;=0,"Payé","En cours"))</f>
        <v/>
      </c>
    </row>
    <row r="32">
      <c r="A32" s="45" t="n"/>
      <c r="B32" s="46" t="n"/>
      <c r="C32" s="47" t="n"/>
      <c r="D32" s="47" t="n"/>
      <c r="E32" s="47" t="n"/>
      <c r="F32" s="47">
        <f>IF(COUNTA(A32:E32)=0,"",(C32+D32)-E32)</f>
        <v/>
      </c>
      <c r="G32" s="48">
        <f>IF(B32="","",TODAY()-B32)</f>
        <v/>
      </c>
      <c r="H32" s="45">
        <f>IF(F32="","",IF(F32&lt;=0,"Payé","En cours"))</f>
        <v/>
      </c>
    </row>
    <row r="33">
      <c r="A33" s="45" t="n"/>
      <c r="B33" s="46" t="n"/>
      <c r="C33" s="47" t="n"/>
      <c r="D33" s="47" t="n"/>
      <c r="E33" s="47" t="n"/>
      <c r="F33" s="47">
        <f>IF(COUNTA(A33:E33)=0,"",(C33+D33)-E33)</f>
        <v/>
      </c>
      <c r="G33" s="48">
        <f>IF(B33="","",TODAY()-B33)</f>
        <v/>
      </c>
      <c r="H33" s="45">
        <f>IF(F33="","",IF(F33&lt;=0,"Payé","En cours"))</f>
        <v/>
      </c>
    </row>
    <row r="34">
      <c r="A34" s="45" t="n"/>
      <c r="B34" s="46" t="n"/>
      <c r="C34" s="47" t="n"/>
      <c r="D34" s="47" t="n"/>
      <c r="E34" s="47" t="n"/>
      <c r="F34" s="47">
        <f>IF(COUNTA(A34:E34)=0,"",(C34+D34)-E34)</f>
        <v/>
      </c>
      <c r="G34" s="48">
        <f>IF(B34="","",TODAY()-B34)</f>
        <v/>
      </c>
      <c r="H34" s="45">
        <f>IF(F34="","",IF(F34&lt;=0,"Payé","En cours"))</f>
        <v/>
      </c>
    </row>
    <row r="35">
      <c r="A35" s="45" t="n"/>
      <c r="B35" s="46" t="n"/>
      <c r="C35" s="47" t="n"/>
      <c r="D35" s="47" t="n"/>
      <c r="E35" s="47" t="n"/>
      <c r="F35" s="47">
        <f>IF(COUNTA(A35:E35)=0,"",(C35+D35)-E35)</f>
        <v/>
      </c>
      <c r="G35" s="48">
        <f>IF(B35="","",TODAY()-B35)</f>
        <v/>
      </c>
      <c r="H35" s="45">
        <f>IF(F35="","",IF(F35&lt;=0,"Payé","En cours"))</f>
        <v/>
      </c>
    </row>
    <row r="36">
      <c r="A36" s="45" t="n"/>
      <c r="B36" s="46" t="n"/>
      <c r="C36" s="47" t="n"/>
      <c r="D36" s="47" t="n"/>
      <c r="E36" s="47" t="n"/>
      <c r="F36" s="47">
        <f>IF(COUNTA(A36:E36)=0,"",(C36+D36)-E36)</f>
        <v/>
      </c>
      <c r="G36" s="48">
        <f>IF(B36="","",TODAY()-B36)</f>
        <v/>
      </c>
      <c r="H36" s="45">
        <f>IF(F36="","",IF(F36&lt;=0,"Payé","En cours"))</f>
        <v/>
      </c>
    </row>
    <row r="37">
      <c r="A37" s="45" t="n"/>
      <c r="B37" s="46" t="n"/>
      <c r="C37" s="47" t="n"/>
      <c r="D37" s="47" t="n"/>
      <c r="E37" s="47" t="n"/>
      <c r="F37" s="47">
        <f>IF(COUNTA(A37:E37)=0,"",(C37+D37)-E37)</f>
        <v/>
      </c>
      <c r="G37" s="48">
        <f>IF(B37="","",TODAY()-B37)</f>
        <v/>
      </c>
      <c r="H37" s="45">
        <f>IF(F37="","",IF(F37&lt;=0,"Payé","En cours"))</f>
        <v/>
      </c>
    </row>
    <row r="38">
      <c r="A38" s="45" t="n"/>
      <c r="B38" s="46" t="n"/>
      <c r="C38" s="47" t="n"/>
      <c r="D38" s="47" t="n"/>
      <c r="E38" s="47" t="n"/>
      <c r="F38" s="47">
        <f>IF(COUNTA(A38:E38)=0,"",(C38+D38)-E38)</f>
        <v/>
      </c>
      <c r="G38" s="48">
        <f>IF(B38="","",TODAY()-B38)</f>
        <v/>
      </c>
      <c r="H38" s="45">
        <f>IF(F38="","",IF(F38&lt;=0,"Payé","En cours"))</f>
        <v/>
      </c>
    </row>
    <row r="39">
      <c r="A39" s="45" t="n"/>
      <c r="B39" s="46" t="n"/>
      <c r="C39" s="47" t="n"/>
      <c r="D39" s="47" t="n"/>
      <c r="E39" s="47" t="n"/>
      <c r="F39" s="47">
        <f>IF(COUNTA(A39:E39)=0,"",(C39+D39)-E39)</f>
        <v/>
      </c>
      <c r="G39" s="48">
        <f>IF(B39="","",TODAY()-B39)</f>
        <v/>
      </c>
      <c r="H39" s="45">
        <f>IF(F39="","",IF(F39&lt;=0,"Payé","En cours"))</f>
        <v/>
      </c>
    </row>
    <row r="40">
      <c r="A40" s="45" t="n"/>
      <c r="B40" s="46" t="n"/>
      <c r="C40" s="47" t="n"/>
      <c r="D40" s="47" t="n"/>
      <c r="E40" s="47" t="n"/>
      <c r="F40" s="47">
        <f>IF(COUNTA(A40:E40)=0,"",(C40+D40)-E40)</f>
        <v/>
      </c>
      <c r="G40" s="48">
        <f>IF(B40="","",TODAY()-B40)</f>
        <v/>
      </c>
      <c r="H40" s="45">
        <f>IF(F40="","",IF(F40&lt;=0,"Payé","En cours"))</f>
        <v/>
      </c>
    </row>
    <row r="41">
      <c r="A41" s="45" t="n"/>
      <c r="B41" s="46" t="n"/>
      <c r="C41" s="47" t="n"/>
      <c r="D41" s="47" t="n"/>
      <c r="E41" s="47" t="n"/>
      <c r="F41" s="47">
        <f>IF(COUNTA(A41:E41)=0,"",(C41+D41)-E41)</f>
        <v/>
      </c>
      <c r="G41" s="48">
        <f>IF(B41="","",TODAY()-B41)</f>
        <v/>
      </c>
      <c r="H41" s="45">
        <f>IF(F41="","",IF(F41&lt;=0,"Payé","En cours"))</f>
        <v/>
      </c>
    </row>
    <row r="42">
      <c r="A42" s="45" t="n"/>
      <c r="B42" s="46" t="n"/>
      <c r="C42" s="47" t="n"/>
      <c r="D42" s="47" t="n"/>
      <c r="E42" s="47" t="n"/>
      <c r="F42" s="47">
        <f>IF(COUNTA(A42:E42)=0,"",(C42+D42)-E42)</f>
        <v/>
      </c>
      <c r="G42" s="48">
        <f>IF(B42="","",TODAY()-B42)</f>
        <v/>
      </c>
      <c r="H42" s="45">
        <f>IF(F42="","",IF(F42&lt;=0,"Payé","En cours"))</f>
        <v/>
      </c>
    </row>
    <row r="43">
      <c r="A43" s="45" t="n"/>
      <c r="B43" s="46" t="n"/>
      <c r="C43" s="47" t="n"/>
      <c r="D43" s="47" t="n"/>
      <c r="E43" s="47" t="n"/>
      <c r="F43" s="47">
        <f>IF(COUNTA(A43:E43)=0,"",(C43+D43)-E43)</f>
        <v/>
      </c>
      <c r="G43" s="48">
        <f>IF(B43="","",TODAY()-B43)</f>
        <v/>
      </c>
      <c r="H43" s="45">
        <f>IF(F43="","",IF(F43&lt;=0,"Payé","En cours"))</f>
        <v/>
      </c>
    </row>
    <row r="44">
      <c r="A44" s="45" t="n"/>
      <c r="B44" s="46" t="n"/>
      <c r="C44" s="47" t="n"/>
      <c r="D44" s="47" t="n"/>
      <c r="E44" s="47" t="n"/>
      <c r="F44" s="47">
        <f>IF(COUNTA(A44:E44)=0,"",(C44+D44)-E44)</f>
        <v/>
      </c>
      <c r="G44" s="48">
        <f>IF(B44="","",TODAY()-B44)</f>
        <v/>
      </c>
      <c r="H44" s="45">
        <f>IF(F44="","",IF(F44&lt;=0,"Payé","En cours"))</f>
        <v/>
      </c>
    </row>
    <row r="45">
      <c r="A45" s="45" t="n"/>
      <c r="B45" s="46" t="n"/>
      <c r="C45" s="47" t="n"/>
      <c r="D45" s="47" t="n"/>
      <c r="E45" s="47" t="n"/>
      <c r="F45" s="47">
        <f>IF(COUNTA(A45:E45)=0,"",(C45+D45)-E45)</f>
        <v/>
      </c>
      <c r="G45" s="48">
        <f>IF(B45="","",TODAY()-B45)</f>
        <v/>
      </c>
      <c r="H45" s="45">
        <f>IF(F45="","",IF(F45&lt;=0,"Payé","En cours"))</f>
        <v/>
      </c>
    </row>
    <row r="46">
      <c r="A46" s="45" t="n"/>
      <c r="B46" s="46" t="n"/>
      <c r="C46" s="47" t="n"/>
      <c r="D46" s="47" t="n"/>
      <c r="E46" s="47" t="n"/>
      <c r="F46" s="47">
        <f>IF(COUNTA(A46:E46)=0,"",(C46+D46)-E46)</f>
        <v/>
      </c>
      <c r="G46" s="48">
        <f>IF(B46="","",TODAY()-B46)</f>
        <v/>
      </c>
      <c r="H46" s="45">
        <f>IF(F46="","",IF(F46&lt;=0,"Payé","En cours"))</f>
        <v/>
      </c>
    </row>
    <row r="47">
      <c r="A47" s="45" t="n"/>
      <c r="B47" s="46" t="n"/>
      <c r="C47" s="47" t="n"/>
      <c r="D47" s="47" t="n"/>
      <c r="E47" s="47" t="n"/>
      <c r="F47" s="47">
        <f>IF(COUNTA(A47:E47)=0,"",(C47+D47)-E47)</f>
        <v/>
      </c>
      <c r="G47" s="48">
        <f>IF(B47="","",TODAY()-B47)</f>
        <v/>
      </c>
      <c r="H47" s="45">
        <f>IF(F47="","",IF(F47&lt;=0,"Payé","En cours"))</f>
        <v/>
      </c>
    </row>
    <row r="48">
      <c r="A48" s="45" t="n"/>
      <c r="B48" s="46" t="n"/>
      <c r="C48" s="47" t="n"/>
      <c r="D48" s="47" t="n"/>
      <c r="E48" s="47" t="n"/>
      <c r="F48" s="47">
        <f>IF(COUNTA(A48:E48)=0,"",(C48+D48)-E48)</f>
        <v/>
      </c>
      <c r="G48" s="48">
        <f>IF(B48="","",TODAY()-B48)</f>
        <v/>
      </c>
      <c r="H48" s="45">
        <f>IF(F48="","",IF(F48&lt;=0,"Payé","En cours"))</f>
        <v/>
      </c>
    </row>
    <row r="49">
      <c r="A49" s="45" t="n"/>
      <c r="B49" s="46" t="n"/>
      <c r="C49" s="47" t="n"/>
      <c r="D49" s="47" t="n"/>
      <c r="E49" s="47" t="n"/>
      <c r="F49" s="47">
        <f>IF(COUNTA(A49:E49)=0,"",(C49+D49)-E49)</f>
        <v/>
      </c>
      <c r="G49" s="48">
        <f>IF(B49="","",TODAY()-B49)</f>
        <v/>
      </c>
      <c r="H49" s="45">
        <f>IF(F49="","",IF(F49&lt;=0,"Payé","En cours"))</f>
        <v/>
      </c>
    </row>
    <row r="50">
      <c r="A50" s="45" t="n"/>
      <c r="B50" s="46" t="n"/>
      <c r="C50" s="47" t="n"/>
      <c r="D50" s="47" t="n"/>
      <c r="E50" s="47" t="n"/>
      <c r="F50" s="47">
        <f>IF(COUNTA(A50:E50)=0,"",(C50+D50)-E50)</f>
        <v/>
      </c>
      <c r="G50" s="48">
        <f>IF(B50="","",TODAY()-B50)</f>
        <v/>
      </c>
      <c r="H50" s="45">
        <f>IF(F50="","",IF(F50&lt;=0,"Payé","En cours"))</f>
        <v/>
      </c>
    </row>
    <row r="51">
      <c r="A51" s="45" t="n"/>
      <c r="B51" s="46" t="n"/>
      <c r="C51" s="47" t="n"/>
      <c r="D51" s="47" t="n"/>
      <c r="E51" s="47" t="n"/>
      <c r="F51" s="47">
        <f>IF(COUNTA(A51:E51)=0,"",(C51+D51)-E51)</f>
        <v/>
      </c>
      <c r="G51" s="48">
        <f>IF(B51="","",TODAY()-B51)</f>
        <v/>
      </c>
      <c r="H51" s="45">
        <f>IF(F51="","",IF(F51&lt;=0,"Payé","En cours"))</f>
        <v/>
      </c>
    </row>
    <row r="52">
      <c r="A52" s="45" t="n"/>
      <c r="B52" s="46" t="n"/>
      <c r="C52" s="47" t="n"/>
      <c r="D52" s="47" t="n"/>
      <c r="E52" s="47" t="n"/>
      <c r="F52" s="47">
        <f>IF(COUNTA(A52:E52)=0,"",(C52+D52)-E52)</f>
        <v/>
      </c>
      <c r="G52" s="48">
        <f>IF(B52="","",TODAY()-B52)</f>
        <v/>
      </c>
      <c r="H52" s="45">
        <f>IF(F52="","",IF(F52&lt;=0,"Payé","En cours"))</f>
        <v/>
      </c>
    </row>
    <row r="53">
      <c r="A53" s="45" t="n"/>
      <c r="B53" s="46" t="n"/>
      <c r="C53" s="47" t="n"/>
      <c r="D53" s="47" t="n"/>
      <c r="E53" s="47" t="n"/>
      <c r="F53" s="47">
        <f>IF(COUNTA(A53:E53)=0,"",(C53+D53)-E53)</f>
        <v/>
      </c>
      <c r="G53" s="48">
        <f>IF(B53="","",TODAY()-B53)</f>
        <v/>
      </c>
      <c r="H53" s="45">
        <f>IF(F53="","",IF(F53&lt;=0,"Payé","En cours"))</f>
        <v/>
      </c>
    </row>
    <row r="54">
      <c r="A54" s="45" t="n"/>
      <c r="B54" s="46" t="n"/>
      <c r="C54" s="47" t="n"/>
      <c r="D54" s="47" t="n"/>
      <c r="E54" s="47" t="n"/>
      <c r="F54" s="47">
        <f>IF(COUNTA(A54:E54)=0,"",(C54+D54)-E54)</f>
        <v/>
      </c>
      <c r="G54" s="48">
        <f>IF(B54="","",TODAY()-B54)</f>
        <v/>
      </c>
      <c r="H54" s="45">
        <f>IF(F54="","",IF(F54&lt;=0,"Payé","En cours"))</f>
        <v/>
      </c>
    </row>
    <row r="55">
      <c r="A55" s="45" t="n"/>
      <c r="B55" s="46" t="n"/>
      <c r="C55" s="47" t="n"/>
      <c r="D55" s="47" t="n"/>
      <c r="E55" s="47" t="n"/>
      <c r="F55" s="47">
        <f>IF(COUNTA(A55:E55)=0,"",(C55+D55)-E55)</f>
        <v/>
      </c>
      <c r="G55" s="48">
        <f>IF(B55="","",TODAY()-B55)</f>
        <v/>
      </c>
      <c r="H55" s="45">
        <f>IF(F55="","",IF(F55&lt;=0,"Payé","En cours"))</f>
        <v/>
      </c>
    </row>
    <row r="56">
      <c r="A56" s="45" t="n"/>
      <c r="B56" s="46" t="n"/>
      <c r="C56" s="47" t="n"/>
      <c r="D56" s="47" t="n"/>
      <c r="E56" s="47" t="n"/>
      <c r="F56" s="47">
        <f>IF(COUNTA(A56:E56)=0,"",(C56+D56)-E56)</f>
        <v/>
      </c>
      <c r="G56" s="48">
        <f>IF(B56="","",TODAY()-B56)</f>
        <v/>
      </c>
      <c r="H56" s="45">
        <f>IF(F56="","",IF(F56&lt;=0,"Payé","En cours"))</f>
        <v/>
      </c>
    </row>
    <row r="57">
      <c r="A57" s="45" t="n"/>
      <c r="B57" s="46" t="n"/>
      <c r="C57" s="47" t="n"/>
      <c r="D57" s="47" t="n"/>
      <c r="E57" s="47" t="n"/>
      <c r="F57" s="47">
        <f>IF(COUNTA(A57:E57)=0,"",(C57+D57)-E57)</f>
        <v/>
      </c>
      <c r="G57" s="48">
        <f>IF(B57="","",TODAY()-B57)</f>
        <v/>
      </c>
      <c r="H57" s="45">
        <f>IF(F57="","",IF(F57&lt;=0,"Payé","En cours"))</f>
        <v/>
      </c>
    </row>
    <row r="58">
      <c r="A58" s="45" t="n"/>
      <c r="B58" s="46" t="n"/>
      <c r="C58" s="47" t="n"/>
      <c r="D58" s="47" t="n"/>
      <c r="E58" s="47" t="n"/>
      <c r="F58" s="47">
        <f>IF(COUNTA(A58:E58)=0,"",(C58+D58)-E58)</f>
        <v/>
      </c>
      <c r="G58" s="48">
        <f>IF(B58="","",TODAY()-B58)</f>
        <v/>
      </c>
      <c r="H58" s="45">
        <f>IF(F58="","",IF(F58&lt;=0,"Payé","En cours"))</f>
        <v/>
      </c>
    </row>
    <row r="59">
      <c r="A59" s="45" t="n"/>
      <c r="B59" s="46" t="n"/>
      <c r="C59" s="47" t="n"/>
      <c r="D59" s="47" t="n"/>
      <c r="E59" s="47" t="n"/>
      <c r="F59" s="47">
        <f>IF(COUNTA(A59:E59)=0,"",(C59+D59)-E59)</f>
        <v/>
      </c>
      <c r="G59" s="48">
        <f>IF(B59="","",TODAY()-B59)</f>
        <v/>
      </c>
      <c r="H59" s="45">
        <f>IF(F59="","",IF(F59&lt;=0,"Payé","En cours"))</f>
        <v/>
      </c>
    </row>
    <row r="60">
      <c r="A60" s="45" t="n"/>
      <c r="B60" s="46" t="n"/>
      <c r="C60" s="47" t="n"/>
      <c r="D60" s="47" t="n"/>
      <c r="E60" s="47" t="n"/>
      <c r="F60" s="47">
        <f>IF(COUNTA(A60:E60)=0,"",(C60+D60)-E60)</f>
        <v/>
      </c>
      <c r="G60" s="48">
        <f>IF(B60="","",TODAY()-B60)</f>
        <v/>
      </c>
      <c r="H60" s="45">
        <f>IF(F60="","",IF(F60&lt;=0,"Payé","En cours"))</f>
        <v/>
      </c>
    </row>
    <row r="61">
      <c r="A61" s="45" t="n"/>
      <c r="B61" s="46" t="n"/>
      <c r="C61" s="47" t="n"/>
      <c r="D61" s="47" t="n"/>
      <c r="E61" s="47" t="n"/>
      <c r="F61" s="47">
        <f>IF(COUNTA(A61:E61)=0,"",(C61+D61)-E61)</f>
        <v/>
      </c>
      <c r="G61" s="48">
        <f>IF(B61="","",TODAY()-B61)</f>
        <v/>
      </c>
      <c r="H61" s="45">
        <f>IF(F61="","",IF(F61&lt;=0,"Payé","En cours"))</f>
        <v/>
      </c>
    </row>
    <row r="62">
      <c r="A62" s="45" t="n"/>
      <c r="B62" s="46" t="n"/>
      <c r="C62" s="47" t="n"/>
      <c r="D62" s="47" t="n"/>
      <c r="E62" s="47" t="n"/>
      <c r="F62" s="47">
        <f>IF(COUNTA(A62:E62)=0,"",(C62+D62)-E62)</f>
        <v/>
      </c>
      <c r="G62" s="48">
        <f>IF(B62="","",TODAY()-B62)</f>
        <v/>
      </c>
      <c r="H62" s="45">
        <f>IF(F62="","",IF(F62&lt;=0,"Payé","En cours"))</f>
        <v/>
      </c>
    </row>
    <row r="63">
      <c r="A63" s="45" t="n"/>
      <c r="B63" s="46" t="n"/>
      <c r="C63" s="47" t="n"/>
      <c r="D63" s="47" t="n"/>
      <c r="E63" s="47" t="n"/>
      <c r="F63" s="47">
        <f>IF(COUNTA(A63:E63)=0,"",(C63+D63)-E63)</f>
        <v/>
      </c>
      <c r="G63" s="48">
        <f>IF(B63="","",TODAY()-B63)</f>
        <v/>
      </c>
      <c r="H63" s="45">
        <f>IF(F63="","",IF(F63&lt;=0,"Payé","En cours"))</f>
        <v/>
      </c>
    </row>
    <row r="64">
      <c r="A64" s="45" t="n"/>
      <c r="B64" s="46" t="n"/>
      <c r="C64" s="47" t="n"/>
      <c r="D64" s="47" t="n"/>
      <c r="E64" s="47" t="n"/>
      <c r="F64" s="47">
        <f>IF(COUNTA(A64:E64)=0,"",(C64+D64)-E64)</f>
        <v/>
      </c>
      <c r="G64" s="48">
        <f>IF(B64="","",TODAY()-B64)</f>
        <v/>
      </c>
      <c r="H64" s="45">
        <f>IF(F64="","",IF(F64&lt;=0,"Payé","En cours"))</f>
        <v/>
      </c>
    </row>
    <row r="65">
      <c r="A65" s="45" t="n"/>
      <c r="B65" s="46" t="n"/>
      <c r="C65" s="47" t="n"/>
      <c r="D65" s="47" t="n"/>
      <c r="E65" s="47" t="n"/>
      <c r="F65" s="47">
        <f>IF(COUNTA(A65:E65)=0,"",(C65+D65)-E65)</f>
        <v/>
      </c>
      <c r="G65" s="48">
        <f>IF(B65="","",TODAY()-B65)</f>
        <v/>
      </c>
      <c r="H65" s="45">
        <f>IF(F65="","",IF(F65&lt;=0,"Payé","En cours"))</f>
        <v/>
      </c>
    </row>
    <row r="66">
      <c r="A66" s="45" t="n"/>
      <c r="B66" s="46" t="n"/>
      <c r="C66" s="47" t="n"/>
      <c r="D66" s="47" t="n"/>
      <c r="E66" s="47" t="n"/>
      <c r="F66" s="47">
        <f>IF(COUNTA(A66:E66)=0,"",(C66+D66)-E66)</f>
        <v/>
      </c>
      <c r="G66" s="48">
        <f>IF(B66="","",TODAY()-B66)</f>
        <v/>
      </c>
      <c r="H66" s="45">
        <f>IF(F66="","",IF(F66&lt;=0,"Payé","En cours"))</f>
        <v/>
      </c>
    </row>
    <row r="67">
      <c r="A67" s="45" t="n"/>
      <c r="B67" s="46" t="n"/>
      <c r="C67" s="47" t="n"/>
      <c r="D67" s="47" t="n"/>
      <c r="E67" s="47" t="n"/>
      <c r="F67" s="47">
        <f>IF(COUNTA(A67:E67)=0,"",(C67+D67)-E67)</f>
        <v/>
      </c>
      <c r="G67" s="48">
        <f>IF(B67="","",TODAY()-B67)</f>
        <v/>
      </c>
      <c r="H67" s="45">
        <f>IF(F67="","",IF(F67&lt;=0,"Payé","En cours"))</f>
        <v/>
      </c>
    </row>
    <row r="68">
      <c r="A68" s="45" t="n"/>
      <c r="B68" s="46" t="n"/>
      <c r="C68" s="47" t="n"/>
      <c r="D68" s="47" t="n"/>
      <c r="E68" s="47" t="n"/>
      <c r="F68" s="47">
        <f>IF(COUNTA(A68:E68)=0,"",(C68+D68)-E68)</f>
        <v/>
      </c>
      <c r="G68" s="48">
        <f>IF(B68="","",TODAY()-B68)</f>
        <v/>
      </c>
      <c r="H68" s="45">
        <f>IF(F68="","",IF(F68&lt;=0,"Payé","En cours"))</f>
        <v/>
      </c>
    </row>
    <row r="69">
      <c r="A69" s="45" t="n"/>
      <c r="B69" s="46" t="n"/>
      <c r="C69" s="47" t="n"/>
      <c r="D69" s="47" t="n"/>
      <c r="E69" s="47" t="n"/>
      <c r="F69" s="47">
        <f>IF(COUNTA(A69:E69)=0,"",(C69+D69)-E69)</f>
        <v/>
      </c>
      <c r="G69" s="48">
        <f>IF(B69="","",TODAY()-B69)</f>
        <v/>
      </c>
      <c r="H69" s="45">
        <f>IF(F69="","",IF(F69&lt;=0,"Payé","En cours"))</f>
        <v/>
      </c>
    </row>
    <row r="70">
      <c r="A70" s="45" t="n"/>
      <c r="B70" s="46" t="n"/>
      <c r="C70" s="47" t="n"/>
      <c r="D70" s="47" t="n"/>
      <c r="E70" s="47" t="n"/>
      <c r="F70" s="47">
        <f>IF(COUNTA(A70:E70)=0,"",(C70+D70)-E70)</f>
        <v/>
      </c>
      <c r="G70" s="48">
        <f>IF(B70="","",TODAY()-B70)</f>
        <v/>
      </c>
      <c r="H70" s="45">
        <f>IF(F70="","",IF(F70&lt;=0,"Payé","En cours"))</f>
        <v/>
      </c>
    </row>
    <row r="71">
      <c r="A71" s="45" t="n"/>
      <c r="B71" s="46" t="n"/>
      <c r="C71" s="47" t="n"/>
      <c r="D71" s="47" t="n"/>
      <c r="E71" s="47" t="n"/>
      <c r="F71" s="47">
        <f>IF(COUNTA(A71:E71)=0,"",(C71+D71)-E71)</f>
        <v/>
      </c>
      <c r="G71" s="48">
        <f>IF(B71="","",TODAY()-B71)</f>
        <v/>
      </c>
      <c r="H71" s="45">
        <f>IF(F71="","",IF(F71&lt;=0,"Payé","En cours"))</f>
        <v/>
      </c>
    </row>
    <row r="72">
      <c r="A72" s="45" t="n"/>
      <c r="B72" s="46" t="n"/>
      <c r="C72" s="47" t="n"/>
      <c r="D72" s="47" t="n"/>
      <c r="E72" s="47" t="n"/>
      <c r="F72" s="47">
        <f>IF(COUNTA(A72:E72)=0,"",(C72+D72)-E72)</f>
        <v/>
      </c>
      <c r="G72" s="48">
        <f>IF(B72="","",TODAY()-B72)</f>
        <v/>
      </c>
      <c r="H72" s="45">
        <f>IF(F72="","",IF(F72&lt;=0,"Payé","En cours"))</f>
        <v/>
      </c>
    </row>
    <row r="73">
      <c r="A73" s="45" t="n"/>
      <c r="B73" s="46" t="n"/>
      <c r="C73" s="47" t="n"/>
      <c r="D73" s="47" t="n"/>
      <c r="E73" s="47" t="n"/>
      <c r="F73" s="47">
        <f>IF(COUNTA(A73:E73)=0,"",(C73+D73)-E73)</f>
        <v/>
      </c>
      <c r="G73" s="48">
        <f>IF(B73="","",TODAY()-B73)</f>
        <v/>
      </c>
      <c r="H73" s="45">
        <f>IF(F73="","",IF(F73&lt;=0,"Payé","En cours"))</f>
        <v/>
      </c>
    </row>
    <row r="74">
      <c r="A74" s="45" t="n"/>
      <c r="B74" s="46" t="n"/>
      <c r="C74" s="47" t="n"/>
      <c r="D74" s="47" t="n"/>
      <c r="E74" s="47" t="n"/>
      <c r="F74" s="47">
        <f>IF(COUNTA(A74:E74)=0,"",(C74+D74)-E74)</f>
        <v/>
      </c>
      <c r="G74" s="48">
        <f>IF(B74="","",TODAY()-B74)</f>
        <v/>
      </c>
      <c r="H74" s="45">
        <f>IF(F74="","",IF(F74&lt;=0,"Payé","En cours"))</f>
        <v/>
      </c>
    </row>
    <row r="75">
      <c r="A75" s="45" t="n"/>
      <c r="B75" s="46" t="n"/>
      <c r="C75" s="47" t="n"/>
      <c r="D75" s="47" t="n"/>
      <c r="E75" s="47" t="n"/>
      <c r="F75" s="47">
        <f>IF(COUNTA(A75:E75)=0,"",(C75+D75)-E75)</f>
        <v/>
      </c>
      <c r="G75" s="48">
        <f>IF(B75="","",TODAY()-B75)</f>
        <v/>
      </c>
      <c r="H75" s="45">
        <f>IF(F75="","",IF(F75&lt;=0,"Payé","En cours"))</f>
        <v/>
      </c>
    </row>
    <row r="76">
      <c r="A76" s="45" t="n"/>
      <c r="B76" s="46" t="n"/>
      <c r="C76" s="47" t="n"/>
      <c r="D76" s="47" t="n"/>
      <c r="E76" s="47" t="n"/>
      <c r="F76" s="47">
        <f>IF(COUNTA(A76:E76)=0,"",(C76+D76)-E76)</f>
        <v/>
      </c>
      <c r="G76" s="48">
        <f>IF(B76="","",TODAY()-B76)</f>
        <v/>
      </c>
      <c r="H76" s="45">
        <f>IF(F76="","",IF(F76&lt;=0,"Payé","En cours"))</f>
        <v/>
      </c>
    </row>
    <row r="77">
      <c r="A77" s="45" t="n"/>
      <c r="B77" s="46" t="n"/>
      <c r="C77" s="47" t="n"/>
      <c r="D77" s="47" t="n"/>
      <c r="E77" s="47" t="n"/>
      <c r="F77" s="47">
        <f>IF(COUNTA(A77:E77)=0,"",(C77+D77)-E77)</f>
        <v/>
      </c>
      <c r="G77" s="48">
        <f>IF(B77="","",TODAY()-B77)</f>
        <v/>
      </c>
      <c r="H77" s="45">
        <f>IF(F77="","",IF(F77&lt;=0,"Payé","En cours"))</f>
        <v/>
      </c>
    </row>
    <row r="78">
      <c r="A78" s="45" t="n"/>
      <c r="B78" s="46" t="n"/>
      <c r="C78" s="47" t="n"/>
      <c r="D78" s="47" t="n"/>
      <c r="E78" s="47" t="n"/>
      <c r="F78" s="47">
        <f>IF(COUNTA(A78:E78)=0,"",(C78+D78)-E78)</f>
        <v/>
      </c>
      <c r="G78" s="48">
        <f>IF(B78="","",TODAY()-B78)</f>
        <v/>
      </c>
      <c r="H78" s="45">
        <f>IF(F78="","",IF(F78&lt;=0,"Payé","En cours"))</f>
        <v/>
      </c>
    </row>
    <row r="79">
      <c r="A79" s="45" t="n"/>
      <c r="B79" s="46" t="n"/>
      <c r="C79" s="47" t="n"/>
      <c r="D79" s="47" t="n"/>
      <c r="E79" s="47" t="n"/>
      <c r="F79" s="47">
        <f>IF(COUNTA(A79:E79)=0,"",(C79+D79)-E79)</f>
        <v/>
      </c>
      <c r="G79" s="48">
        <f>IF(B79="","",TODAY()-B79)</f>
        <v/>
      </c>
      <c r="H79" s="45">
        <f>IF(F79="","",IF(F79&lt;=0,"Payé","En cours"))</f>
        <v/>
      </c>
    </row>
    <row r="80">
      <c r="A80" s="45" t="n"/>
      <c r="B80" s="46" t="n"/>
      <c r="C80" s="47" t="n"/>
      <c r="D80" s="47" t="n"/>
      <c r="E80" s="47" t="n"/>
      <c r="F80" s="47">
        <f>IF(COUNTA(A80:E80)=0,"",(C80+D80)-E80)</f>
        <v/>
      </c>
      <c r="G80" s="48">
        <f>IF(B80="","",TODAY()-B80)</f>
        <v/>
      </c>
      <c r="H80" s="45">
        <f>IF(F80="","",IF(F80&lt;=0,"Payé","En cours"))</f>
        <v/>
      </c>
    </row>
    <row r="81">
      <c r="A81" s="45" t="n"/>
      <c r="B81" s="46" t="n"/>
      <c r="C81" s="47" t="n"/>
      <c r="D81" s="47" t="n"/>
      <c r="E81" s="47" t="n"/>
      <c r="F81" s="47">
        <f>IF(COUNTA(A81:E81)=0,"",(C81+D81)-E81)</f>
        <v/>
      </c>
      <c r="G81" s="48">
        <f>IF(B81="","",TODAY()-B81)</f>
        <v/>
      </c>
      <c r="H81" s="45">
        <f>IF(F81="","",IF(F81&lt;=0,"Payé","En cours"))</f>
        <v/>
      </c>
    </row>
    <row r="82">
      <c r="A82" s="45" t="n"/>
      <c r="B82" s="46" t="n"/>
      <c r="C82" s="47" t="n"/>
      <c r="D82" s="47" t="n"/>
      <c r="E82" s="47" t="n"/>
      <c r="F82" s="47">
        <f>IF(COUNTA(A82:E82)=0,"",(C82+D82)-E82)</f>
        <v/>
      </c>
      <c r="G82" s="48">
        <f>IF(B82="","",TODAY()-B82)</f>
        <v/>
      </c>
      <c r="H82" s="45">
        <f>IF(F82="","",IF(F82&lt;=0,"Payé","En cours"))</f>
        <v/>
      </c>
    </row>
    <row r="83">
      <c r="A83" s="45" t="n"/>
      <c r="B83" s="46" t="n"/>
      <c r="C83" s="47" t="n"/>
      <c r="D83" s="47" t="n"/>
      <c r="E83" s="47" t="n"/>
      <c r="F83" s="47">
        <f>IF(COUNTA(A83:E83)=0,"",(C83+D83)-E83)</f>
        <v/>
      </c>
      <c r="G83" s="48">
        <f>IF(B83="","",TODAY()-B83)</f>
        <v/>
      </c>
      <c r="H83" s="45">
        <f>IF(F83="","",IF(F83&lt;=0,"Payé","En cours"))</f>
        <v/>
      </c>
    </row>
    <row r="84">
      <c r="A84" s="45" t="n"/>
      <c r="B84" s="46" t="n"/>
      <c r="C84" s="47" t="n"/>
      <c r="D84" s="47" t="n"/>
      <c r="E84" s="47" t="n"/>
      <c r="F84" s="47">
        <f>IF(COUNTA(A84:E84)=0,"",(C84+D84)-E84)</f>
        <v/>
      </c>
      <c r="G84" s="48">
        <f>IF(B84="","",TODAY()-B84)</f>
        <v/>
      </c>
      <c r="H84" s="45">
        <f>IF(F84="","",IF(F84&lt;=0,"Payé","En cours"))</f>
        <v/>
      </c>
    </row>
    <row r="85">
      <c r="A85" s="45" t="n"/>
      <c r="B85" s="46" t="n"/>
      <c r="C85" s="47" t="n"/>
      <c r="D85" s="47" t="n"/>
      <c r="E85" s="47" t="n"/>
      <c r="F85" s="47">
        <f>IF(COUNTA(A85:E85)=0,"",(C85+D85)-E85)</f>
        <v/>
      </c>
      <c r="G85" s="48">
        <f>IF(B85="","",TODAY()-B85)</f>
        <v/>
      </c>
      <c r="H85" s="45">
        <f>IF(F85="","",IF(F85&lt;=0,"Payé","En cours"))</f>
        <v/>
      </c>
    </row>
    <row r="86">
      <c r="A86" s="45" t="n"/>
      <c r="B86" s="46" t="n"/>
      <c r="C86" s="47" t="n"/>
      <c r="D86" s="47" t="n"/>
      <c r="E86" s="47" t="n"/>
      <c r="F86" s="47">
        <f>IF(COUNTA(A86:E86)=0,"",(C86+D86)-E86)</f>
        <v/>
      </c>
      <c r="G86" s="48">
        <f>IF(B86="","",TODAY()-B86)</f>
        <v/>
      </c>
      <c r="H86" s="45">
        <f>IF(F86="","",IF(F86&lt;=0,"Payé","En cours"))</f>
        <v/>
      </c>
    </row>
    <row r="87">
      <c r="A87" s="45" t="n"/>
      <c r="B87" s="46" t="n"/>
      <c r="C87" s="47" t="n"/>
      <c r="D87" s="47" t="n"/>
      <c r="E87" s="47" t="n"/>
      <c r="F87" s="47">
        <f>IF(COUNTA(A87:E87)=0,"",(C87+D87)-E87)</f>
        <v/>
      </c>
      <c r="G87" s="48">
        <f>IF(B87="","",TODAY()-B87)</f>
        <v/>
      </c>
      <c r="H87" s="45">
        <f>IF(F87="","",IF(F87&lt;=0,"Payé","En cours"))</f>
        <v/>
      </c>
    </row>
    <row r="88">
      <c r="A88" s="45" t="n"/>
      <c r="B88" s="46" t="n"/>
      <c r="C88" s="47" t="n"/>
      <c r="D88" s="47" t="n"/>
      <c r="E88" s="47" t="n"/>
      <c r="F88" s="47">
        <f>IF(COUNTA(A88:E88)=0,"",(C88+D88)-E88)</f>
        <v/>
      </c>
      <c r="G88" s="48">
        <f>IF(B88="","",TODAY()-B88)</f>
        <v/>
      </c>
      <c r="H88" s="45">
        <f>IF(F88="","",IF(F88&lt;=0,"Payé","En cours"))</f>
        <v/>
      </c>
    </row>
    <row r="89">
      <c r="A89" s="45" t="n"/>
      <c r="B89" s="46" t="n"/>
      <c r="C89" s="47" t="n"/>
      <c r="D89" s="47" t="n"/>
      <c r="E89" s="47" t="n"/>
      <c r="F89" s="47">
        <f>IF(COUNTA(A89:E89)=0,"",(C89+D89)-E89)</f>
        <v/>
      </c>
      <c r="G89" s="48">
        <f>IF(B89="","",TODAY()-B89)</f>
        <v/>
      </c>
      <c r="H89" s="45">
        <f>IF(F89="","",IF(F89&lt;=0,"Payé","En cours"))</f>
        <v/>
      </c>
    </row>
    <row r="90">
      <c r="A90" s="45" t="n"/>
      <c r="B90" s="46" t="n"/>
      <c r="C90" s="47" t="n"/>
      <c r="D90" s="47" t="n"/>
      <c r="E90" s="47" t="n"/>
      <c r="F90" s="47">
        <f>IF(COUNTA(A90:E90)=0,"",(C90+D90)-E90)</f>
        <v/>
      </c>
      <c r="G90" s="48">
        <f>IF(B90="","",TODAY()-B90)</f>
        <v/>
      </c>
      <c r="H90" s="45">
        <f>IF(F90="","",IF(F90&lt;=0,"Payé","En cours"))</f>
        <v/>
      </c>
    </row>
    <row r="91">
      <c r="A91" s="45" t="n"/>
      <c r="B91" s="46" t="n"/>
      <c r="C91" s="47" t="n"/>
      <c r="D91" s="47" t="n"/>
      <c r="E91" s="47" t="n"/>
      <c r="F91" s="47">
        <f>IF(COUNTA(A91:E91)=0,"",(C91+D91)-E91)</f>
        <v/>
      </c>
      <c r="G91" s="48">
        <f>IF(B91="","",TODAY()-B91)</f>
        <v/>
      </c>
      <c r="H91" s="45">
        <f>IF(F91="","",IF(F91&lt;=0,"Payé","En cours"))</f>
        <v/>
      </c>
    </row>
    <row r="92">
      <c r="A92" s="45" t="n"/>
      <c r="B92" s="46" t="n"/>
      <c r="C92" s="47" t="n"/>
      <c r="D92" s="47" t="n"/>
      <c r="E92" s="47" t="n"/>
      <c r="F92" s="47">
        <f>IF(COUNTA(A92:E92)=0,"",(C92+D92)-E92)</f>
        <v/>
      </c>
      <c r="G92" s="48">
        <f>IF(B92="","",TODAY()-B92)</f>
        <v/>
      </c>
      <c r="H92" s="45">
        <f>IF(F92="","",IF(F92&lt;=0,"Payé","En cours"))</f>
        <v/>
      </c>
    </row>
    <row r="93">
      <c r="A93" s="45" t="n"/>
      <c r="B93" s="46" t="n"/>
      <c r="C93" s="47" t="n"/>
      <c r="D93" s="47" t="n"/>
      <c r="E93" s="47" t="n"/>
      <c r="F93" s="47">
        <f>IF(COUNTA(A93:E93)=0,"",(C93+D93)-E93)</f>
        <v/>
      </c>
      <c r="G93" s="48">
        <f>IF(B93="","",TODAY()-B93)</f>
        <v/>
      </c>
      <c r="H93" s="45">
        <f>IF(F93="","",IF(F93&lt;=0,"Payé","En cours"))</f>
        <v/>
      </c>
    </row>
    <row r="94">
      <c r="A94" s="45" t="n"/>
      <c r="B94" s="46" t="n"/>
      <c r="C94" s="47" t="n"/>
      <c r="D94" s="47" t="n"/>
      <c r="E94" s="47" t="n"/>
      <c r="F94" s="47">
        <f>IF(COUNTA(A94:E94)=0,"",(C94+D94)-E94)</f>
        <v/>
      </c>
      <c r="G94" s="48">
        <f>IF(B94="","",TODAY()-B94)</f>
        <v/>
      </c>
      <c r="H94" s="45">
        <f>IF(F94="","",IF(F94&lt;=0,"Payé","En cours"))</f>
        <v/>
      </c>
    </row>
    <row r="95">
      <c r="A95" s="45" t="n"/>
      <c r="B95" s="46" t="n"/>
      <c r="C95" s="47" t="n"/>
      <c r="D95" s="47" t="n"/>
      <c r="E95" s="47" t="n"/>
      <c r="F95" s="47">
        <f>IF(COUNTA(A95:E95)=0,"",(C95+D95)-E95)</f>
        <v/>
      </c>
      <c r="G95" s="48">
        <f>IF(B95="","",TODAY()-B95)</f>
        <v/>
      </c>
      <c r="H95" s="45">
        <f>IF(F95="","",IF(F95&lt;=0,"Payé","En cours"))</f>
        <v/>
      </c>
    </row>
    <row r="96">
      <c r="A96" s="45" t="n"/>
      <c r="B96" s="46" t="n"/>
      <c r="C96" s="47" t="n"/>
      <c r="D96" s="47" t="n"/>
      <c r="E96" s="47" t="n"/>
      <c r="F96" s="47">
        <f>IF(COUNTA(A96:E96)=0,"",(C96+D96)-E96)</f>
        <v/>
      </c>
      <c r="G96" s="48">
        <f>IF(B96="","",TODAY()-B96)</f>
        <v/>
      </c>
      <c r="H96" s="45">
        <f>IF(F96="","",IF(F96&lt;=0,"Payé","En cours"))</f>
        <v/>
      </c>
    </row>
    <row r="97">
      <c r="A97" s="45" t="n"/>
      <c r="B97" s="46" t="n"/>
      <c r="C97" s="47" t="n"/>
      <c r="D97" s="47" t="n"/>
      <c r="E97" s="47" t="n"/>
      <c r="F97" s="47">
        <f>IF(COUNTA(A97:E97)=0,"",(C97+D97)-E97)</f>
        <v/>
      </c>
      <c r="G97" s="48">
        <f>IF(B97="","",TODAY()-B97)</f>
        <v/>
      </c>
      <c r="H97" s="45">
        <f>IF(F97="","",IF(F97&lt;=0,"Payé","En cours"))</f>
        <v/>
      </c>
    </row>
    <row r="98">
      <c r="A98" s="45" t="n"/>
      <c r="B98" s="46" t="n"/>
      <c r="C98" s="47" t="n"/>
      <c r="D98" s="47" t="n"/>
      <c r="E98" s="47" t="n"/>
      <c r="F98" s="47">
        <f>IF(COUNTA(A98:E98)=0,"",(C98+D98)-E98)</f>
        <v/>
      </c>
      <c r="G98" s="48">
        <f>IF(B98="","",TODAY()-B98)</f>
        <v/>
      </c>
      <c r="H98" s="45">
        <f>IF(F98="","",IF(F98&lt;=0,"Payé","En cours"))</f>
        <v/>
      </c>
    </row>
    <row r="99">
      <c r="A99" s="45" t="n"/>
      <c r="B99" s="46" t="n"/>
      <c r="C99" s="47" t="n"/>
      <c r="D99" s="47" t="n"/>
      <c r="E99" s="47" t="n"/>
      <c r="F99" s="47">
        <f>IF(COUNTA(A99:E99)=0,"",(C99+D99)-E99)</f>
        <v/>
      </c>
      <c r="G99" s="48">
        <f>IF(B99="","",TODAY()-B99)</f>
        <v/>
      </c>
      <c r="H99" s="45">
        <f>IF(F99="","",IF(F99&lt;=0,"Payé","En cours"))</f>
        <v/>
      </c>
    </row>
    <row r="100">
      <c r="A100" s="45" t="n"/>
      <c r="B100" s="46" t="n"/>
      <c r="C100" s="47" t="n"/>
      <c r="D100" s="47" t="n"/>
      <c r="E100" s="47" t="n"/>
      <c r="F100" s="47">
        <f>IF(COUNTA(A100:E100)=0,"",(C100+D100)-E100)</f>
        <v/>
      </c>
      <c r="G100" s="48">
        <f>IF(B100="","",TODAY()-B100)</f>
        <v/>
      </c>
      <c r="H100" s="45">
        <f>IF(F100="","",IF(F100&lt;=0,"Payé","En cours"))</f>
        <v/>
      </c>
    </row>
    <row r="101">
      <c r="A101" s="45" t="n"/>
      <c r="B101" s="46" t="n"/>
      <c r="C101" s="47" t="n"/>
      <c r="D101" s="47" t="n"/>
      <c r="E101" s="47" t="n"/>
      <c r="F101" s="47">
        <f>IF(COUNTA(A101:E101)=0,"",(C101+D101)-E101)</f>
        <v/>
      </c>
      <c r="G101" s="48">
        <f>IF(B101="","",TODAY()-B101)</f>
        <v/>
      </c>
      <c r="H101" s="45">
        <f>IF(F101="","",IF(F101&lt;=0,"Payé","En cours"))</f>
        <v/>
      </c>
    </row>
    <row r="102">
      <c r="A102" s="45" t="n"/>
      <c r="B102" s="46" t="n"/>
      <c r="C102" s="47" t="n"/>
      <c r="D102" s="47" t="n"/>
      <c r="E102" s="47" t="n"/>
      <c r="F102" s="47">
        <f>IF(COUNTA(A102:E102)=0,"",(C102+D102)-E102)</f>
        <v/>
      </c>
      <c r="G102" s="48">
        <f>IF(B102="","",TODAY()-B102)</f>
        <v/>
      </c>
      <c r="H102" s="45">
        <f>IF(F102="","",IF(F102&lt;=0,"Payé","En cours"))</f>
        <v/>
      </c>
    </row>
    <row r="103">
      <c r="A103" s="45" t="n"/>
      <c r="B103" s="46" t="n"/>
      <c r="C103" s="47" t="n"/>
      <c r="D103" s="47" t="n"/>
      <c r="E103" s="47" t="n"/>
      <c r="F103" s="47">
        <f>IF(COUNTA(A103:E103)=0,"",(C103+D103)-E103)</f>
        <v/>
      </c>
      <c r="G103" s="48">
        <f>IF(B103="","",TODAY()-B103)</f>
        <v/>
      </c>
      <c r="H103" s="45">
        <f>IF(F103="","",IF(F103&lt;=0,"Payé","En cours"))</f>
        <v/>
      </c>
    </row>
    <row r="104">
      <c r="A104" s="45" t="n"/>
      <c r="B104" s="46" t="n"/>
      <c r="C104" s="47" t="n"/>
      <c r="D104" s="47" t="n"/>
      <c r="E104" s="47" t="n"/>
      <c r="F104" s="47">
        <f>IF(COUNTA(A104:E104)=0,"",(C104+D104)-E104)</f>
        <v/>
      </c>
      <c r="G104" s="48">
        <f>IF(B104="","",TODAY()-B104)</f>
        <v/>
      </c>
      <c r="H104" s="45">
        <f>IF(F104="","",IF(F104&lt;=0,"Payé","En cours"))</f>
        <v/>
      </c>
    </row>
    <row r="105">
      <c r="A105" s="45" t="n"/>
      <c r="B105" s="46" t="n"/>
      <c r="C105" s="47" t="n"/>
      <c r="D105" s="47" t="n"/>
      <c r="E105" s="47" t="n"/>
      <c r="F105" s="47">
        <f>IF(COUNTA(A105:E105)=0,"",(C105+D105)-E105)</f>
        <v/>
      </c>
      <c r="G105" s="48">
        <f>IF(B105="","",TODAY()-B105)</f>
        <v/>
      </c>
      <c r="H105" s="45">
        <f>IF(F105="","",IF(F105&lt;=0,"Payé","En cours"))</f>
        <v/>
      </c>
    </row>
    <row r="106">
      <c r="A106" s="45" t="n"/>
      <c r="B106" s="46" t="n"/>
      <c r="C106" s="47" t="n"/>
      <c r="D106" s="47" t="n"/>
      <c r="E106" s="47" t="n"/>
      <c r="F106" s="47">
        <f>IF(COUNTA(A106:E106)=0,"",(C106+D106)-E106)</f>
        <v/>
      </c>
      <c r="G106" s="48">
        <f>IF(B106="","",TODAY()-B106)</f>
        <v/>
      </c>
      <c r="H106" s="45">
        <f>IF(F106="","",IF(F106&lt;=0,"Payé","En cours"))</f>
        <v/>
      </c>
    </row>
    <row r="107">
      <c r="A107" s="45" t="n"/>
      <c r="B107" s="46" t="n"/>
      <c r="C107" s="47" t="n"/>
      <c r="D107" s="47" t="n"/>
      <c r="E107" s="47" t="n"/>
      <c r="F107" s="47">
        <f>IF(COUNTA(A107:E107)=0,"",(C107+D107)-E107)</f>
        <v/>
      </c>
      <c r="G107" s="48">
        <f>IF(B107="","",TODAY()-B107)</f>
        <v/>
      </c>
      <c r="H107" s="45">
        <f>IF(F107="","",IF(F107&lt;=0,"Payé","En cours"))</f>
        <v/>
      </c>
    </row>
    <row r="108">
      <c r="A108" s="45" t="n"/>
      <c r="B108" s="46" t="n"/>
      <c r="C108" s="47" t="n"/>
      <c r="D108" s="47" t="n"/>
      <c r="E108" s="47" t="n"/>
      <c r="F108" s="47">
        <f>IF(COUNTA(A108:E108)=0,"",(C108+D108)-E108)</f>
        <v/>
      </c>
      <c r="G108" s="48">
        <f>IF(B108="","",TODAY()-B108)</f>
        <v/>
      </c>
      <c r="H108" s="45">
        <f>IF(F108="","",IF(F108&lt;=0,"Payé","En cours"))</f>
        <v/>
      </c>
    </row>
    <row r="109">
      <c r="A109" s="45" t="n"/>
      <c r="B109" s="46" t="n"/>
      <c r="C109" s="47" t="n"/>
      <c r="D109" s="47" t="n"/>
      <c r="E109" s="47" t="n"/>
      <c r="F109" s="47">
        <f>IF(COUNTA(A109:E109)=0,"",(C109+D109)-E109)</f>
        <v/>
      </c>
      <c r="G109" s="48">
        <f>IF(B109="","",TODAY()-B109)</f>
        <v/>
      </c>
      <c r="H109" s="45">
        <f>IF(F109="","",IF(F109&lt;=0,"Payé","En cours"))</f>
        <v/>
      </c>
    </row>
    <row r="110">
      <c r="A110" s="45" t="n"/>
      <c r="B110" s="46" t="n"/>
      <c r="C110" s="47" t="n"/>
      <c r="D110" s="47" t="n"/>
      <c r="E110" s="47" t="n"/>
      <c r="F110" s="47">
        <f>IF(COUNTA(A110:E110)=0,"",(C110+D110)-E110)</f>
        <v/>
      </c>
      <c r="G110" s="48">
        <f>IF(B110="","",TODAY()-B110)</f>
        <v/>
      </c>
      <c r="H110" s="45">
        <f>IF(F110="","",IF(F110&lt;=0,"Payé","En cours"))</f>
        <v/>
      </c>
    </row>
    <row r="111">
      <c r="A111" s="45" t="n"/>
      <c r="B111" s="46" t="n"/>
      <c r="C111" s="47" t="n"/>
      <c r="D111" s="47" t="n"/>
      <c r="E111" s="47" t="n"/>
      <c r="F111" s="47">
        <f>IF(COUNTA(A111:E111)=0,"",(C111+D111)-E111)</f>
        <v/>
      </c>
      <c r="G111" s="48">
        <f>IF(B111="","",TODAY()-B111)</f>
        <v/>
      </c>
      <c r="H111" s="45">
        <f>IF(F111="","",IF(F111&lt;=0,"Payé","En cours"))</f>
        <v/>
      </c>
    </row>
    <row r="112">
      <c r="A112" s="45" t="n"/>
      <c r="B112" s="46" t="n"/>
      <c r="C112" s="47" t="n"/>
      <c r="D112" s="47" t="n"/>
      <c r="E112" s="47" t="n"/>
      <c r="F112" s="47">
        <f>IF(COUNTA(A112:E112)=0,"",(C112+D112)-E112)</f>
        <v/>
      </c>
      <c r="G112" s="48">
        <f>IF(B112="","",TODAY()-B112)</f>
        <v/>
      </c>
      <c r="H112" s="45">
        <f>IF(F112="","",IF(F112&lt;=0,"Payé","En cours"))</f>
        <v/>
      </c>
    </row>
    <row r="113">
      <c r="A113" s="45" t="n"/>
      <c r="B113" s="46" t="n"/>
      <c r="C113" s="47" t="n"/>
      <c r="D113" s="47" t="n"/>
      <c r="E113" s="47" t="n"/>
      <c r="F113" s="47">
        <f>IF(COUNTA(A113:E113)=0,"",(C113+D113)-E113)</f>
        <v/>
      </c>
      <c r="G113" s="48">
        <f>IF(B113="","",TODAY()-B113)</f>
        <v/>
      </c>
      <c r="H113" s="45">
        <f>IF(F113="","",IF(F113&lt;=0,"Payé","En cours"))</f>
        <v/>
      </c>
    </row>
    <row r="114">
      <c r="A114" s="45" t="n"/>
      <c r="B114" s="46" t="n"/>
      <c r="C114" s="47" t="n"/>
      <c r="D114" s="47" t="n"/>
      <c r="E114" s="47" t="n"/>
      <c r="F114" s="47">
        <f>IF(COUNTA(A114:E114)=0,"",(C114+D114)-E114)</f>
        <v/>
      </c>
      <c r="G114" s="48">
        <f>IF(B114="","",TODAY()-B114)</f>
        <v/>
      </c>
      <c r="H114" s="45">
        <f>IF(F114="","",IF(F114&lt;=0,"Payé","En cours"))</f>
        <v/>
      </c>
    </row>
    <row r="115">
      <c r="A115" s="45" t="n"/>
      <c r="B115" s="46" t="n"/>
      <c r="C115" s="47" t="n"/>
      <c r="D115" s="47" t="n"/>
      <c r="E115" s="47" t="n"/>
      <c r="F115" s="47">
        <f>IF(COUNTA(A115:E115)=0,"",(C115+D115)-E115)</f>
        <v/>
      </c>
      <c r="G115" s="48">
        <f>IF(B115="","",TODAY()-B115)</f>
        <v/>
      </c>
      <c r="H115" s="45">
        <f>IF(F115="","",IF(F115&lt;=0,"Payé","En cours"))</f>
        <v/>
      </c>
    </row>
    <row r="116">
      <c r="A116" s="45" t="n"/>
      <c r="B116" s="46" t="n"/>
      <c r="C116" s="47" t="n"/>
      <c r="D116" s="47" t="n"/>
      <c r="E116" s="47" t="n"/>
      <c r="F116" s="47">
        <f>IF(COUNTA(A116:E116)=0,"",(C116+D116)-E116)</f>
        <v/>
      </c>
      <c r="G116" s="48">
        <f>IF(B116="","",TODAY()-B116)</f>
        <v/>
      </c>
      <c r="H116" s="45">
        <f>IF(F116="","",IF(F116&lt;=0,"Payé","En cours"))</f>
        <v/>
      </c>
    </row>
    <row r="117">
      <c r="A117" s="45" t="n"/>
      <c r="B117" s="46" t="n"/>
      <c r="C117" s="47" t="n"/>
      <c r="D117" s="47" t="n"/>
      <c r="E117" s="47" t="n"/>
      <c r="F117" s="47">
        <f>IF(COUNTA(A117:E117)=0,"",(C117+D117)-E117)</f>
        <v/>
      </c>
      <c r="G117" s="48">
        <f>IF(B117="","",TODAY()-B117)</f>
        <v/>
      </c>
      <c r="H117" s="45">
        <f>IF(F117="","",IF(F117&lt;=0,"Payé","En cours"))</f>
        <v/>
      </c>
    </row>
    <row r="118">
      <c r="A118" s="45" t="n"/>
      <c r="B118" s="46" t="n"/>
      <c r="C118" s="47" t="n"/>
      <c r="D118" s="47" t="n"/>
      <c r="E118" s="47" t="n"/>
      <c r="F118" s="47">
        <f>IF(COUNTA(A118:E118)=0,"",(C118+D118)-E118)</f>
        <v/>
      </c>
      <c r="G118" s="48">
        <f>IF(B118="","",TODAY()-B118)</f>
        <v/>
      </c>
      <c r="H118" s="45">
        <f>IF(F118="","",IF(F118&lt;=0,"Payé","En cours"))</f>
        <v/>
      </c>
    </row>
    <row r="119">
      <c r="A119" s="45" t="n"/>
      <c r="B119" s="46" t="n"/>
      <c r="C119" s="47" t="n"/>
      <c r="D119" s="47" t="n"/>
      <c r="E119" s="47" t="n"/>
      <c r="F119" s="47">
        <f>IF(COUNTA(A119:E119)=0,"",(C119+D119)-E119)</f>
        <v/>
      </c>
      <c r="G119" s="48">
        <f>IF(B119="","",TODAY()-B119)</f>
        <v/>
      </c>
      <c r="H119" s="45">
        <f>IF(F119="","",IF(F119&lt;=0,"Payé","En cours"))</f>
        <v/>
      </c>
    </row>
    <row r="120">
      <c r="A120" s="45" t="n"/>
      <c r="B120" s="46" t="n"/>
      <c r="C120" s="47" t="n"/>
      <c r="D120" s="47" t="n"/>
      <c r="E120" s="47" t="n"/>
      <c r="F120" s="47">
        <f>IF(COUNTA(A120:E120)=0,"",(C120+D120)-E120)</f>
        <v/>
      </c>
      <c r="G120" s="48">
        <f>IF(B120="","",TODAY()-B120)</f>
        <v/>
      </c>
      <c r="H120" s="45">
        <f>IF(F120="","",IF(F120&lt;=0,"Payé","En cours"))</f>
        <v/>
      </c>
    </row>
    <row r="121">
      <c r="A121" s="45" t="n"/>
      <c r="B121" s="46" t="n"/>
      <c r="C121" s="47" t="n"/>
      <c r="D121" s="47" t="n"/>
      <c r="E121" s="47" t="n"/>
      <c r="F121" s="47">
        <f>IF(COUNTA(A121:E121)=0,"",(C121+D121)-E121)</f>
        <v/>
      </c>
      <c r="G121" s="48">
        <f>IF(B121="","",TODAY()-B121)</f>
        <v/>
      </c>
      <c r="H121" s="45">
        <f>IF(F121="","",IF(F121&lt;=0,"Payé","En cours"))</f>
        <v/>
      </c>
    </row>
    <row r="122">
      <c r="A122" s="45" t="n"/>
      <c r="B122" s="46" t="n"/>
      <c r="C122" s="47" t="n"/>
      <c r="D122" s="47" t="n"/>
      <c r="E122" s="47" t="n"/>
      <c r="F122" s="47">
        <f>IF(COUNTA(A122:E122)=0,"",(C122+D122)-E122)</f>
        <v/>
      </c>
      <c r="G122" s="48">
        <f>IF(B122="","",TODAY()-B122)</f>
        <v/>
      </c>
      <c r="H122" s="45">
        <f>IF(F122="","",IF(F122&lt;=0,"Payé","En cours"))</f>
        <v/>
      </c>
    </row>
    <row r="123">
      <c r="A123" s="45" t="n"/>
      <c r="B123" s="46" t="n"/>
      <c r="C123" s="47" t="n"/>
      <c r="D123" s="47" t="n"/>
      <c r="E123" s="47" t="n"/>
      <c r="F123" s="47">
        <f>IF(COUNTA(A123:E123)=0,"",(C123+D123)-E123)</f>
        <v/>
      </c>
      <c r="G123" s="48">
        <f>IF(B123="","",TODAY()-B123)</f>
        <v/>
      </c>
      <c r="H123" s="45">
        <f>IF(F123="","",IF(F123&lt;=0,"Payé","En cours"))</f>
        <v/>
      </c>
    </row>
    <row r="124">
      <c r="A124" s="45" t="n"/>
      <c r="B124" s="46" t="n"/>
      <c r="C124" s="47" t="n"/>
      <c r="D124" s="47" t="n"/>
      <c r="E124" s="47" t="n"/>
      <c r="F124" s="47">
        <f>IF(COUNTA(A124:E124)=0,"",(C124+D124)-E124)</f>
        <v/>
      </c>
      <c r="G124" s="48">
        <f>IF(B124="","",TODAY()-B124)</f>
        <v/>
      </c>
      <c r="H124" s="45">
        <f>IF(F124="","",IF(F124&lt;=0,"Payé","En cours"))</f>
        <v/>
      </c>
    </row>
    <row r="125">
      <c r="A125" s="45" t="n"/>
      <c r="B125" s="46" t="n"/>
      <c r="C125" s="47" t="n"/>
      <c r="D125" s="47" t="n"/>
      <c r="E125" s="47" t="n"/>
      <c r="F125" s="47">
        <f>IF(COUNTA(A125:E125)=0,"",(C125+D125)-E125)</f>
        <v/>
      </c>
      <c r="G125" s="48">
        <f>IF(B125="","",TODAY()-B125)</f>
        <v/>
      </c>
      <c r="H125" s="45">
        <f>IF(F125="","",IF(F125&lt;=0,"Payé","En cours"))</f>
        <v/>
      </c>
    </row>
    <row r="126">
      <c r="A126" s="45" t="n"/>
      <c r="B126" s="46" t="n"/>
      <c r="C126" s="47" t="n"/>
      <c r="D126" s="47" t="n"/>
      <c r="E126" s="47" t="n"/>
      <c r="F126" s="47">
        <f>IF(COUNTA(A126:E126)=0,"",(C126+D126)-E126)</f>
        <v/>
      </c>
      <c r="G126" s="48">
        <f>IF(B126="","",TODAY()-B126)</f>
        <v/>
      </c>
      <c r="H126" s="45">
        <f>IF(F126="","",IF(F126&lt;=0,"Payé","En cours"))</f>
        <v/>
      </c>
    </row>
    <row r="127">
      <c r="A127" s="45" t="n"/>
      <c r="B127" s="46" t="n"/>
      <c r="C127" s="47" t="n"/>
      <c r="D127" s="47" t="n"/>
      <c r="E127" s="47" t="n"/>
      <c r="F127" s="47">
        <f>IF(COUNTA(A127:E127)=0,"",(C127+D127)-E127)</f>
        <v/>
      </c>
      <c r="G127" s="48">
        <f>IF(B127="","",TODAY()-B127)</f>
        <v/>
      </c>
      <c r="H127" s="45">
        <f>IF(F127="","",IF(F127&lt;=0,"Payé","En cours"))</f>
        <v/>
      </c>
    </row>
    <row r="128">
      <c r="A128" s="45" t="n"/>
      <c r="B128" s="46" t="n"/>
      <c r="C128" s="47" t="n"/>
      <c r="D128" s="47" t="n"/>
      <c r="E128" s="47" t="n"/>
      <c r="F128" s="47">
        <f>IF(COUNTA(A128:E128)=0,"",(C128+D128)-E128)</f>
        <v/>
      </c>
      <c r="G128" s="48">
        <f>IF(B128="","",TODAY()-B128)</f>
        <v/>
      </c>
      <c r="H128" s="45">
        <f>IF(F128="","",IF(F128&lt;=0,"Payé","En cours"))</f>
        <v/>
      </c>
    </row>
    <row r="129">
      <c r="A129" s="45" t="n"/>
      <c r="B129" s="46" t="n"/>
      <c r="C129" s="47" t="n"/>
      <c r="D129" s="47" t="n"/>
      <c r="E129" s="47" t="n"/>
      <c r="F129" s="47">
        <f>IF(COUNTA(A129:E129)=0,"",(C129+D129)-E129)</f>
        <v/>
      </c>
      <c r="G129" s="48">
        <f>IF(B129="","",TODAY()-B129)</f>
        <v/>
      </c>
      <c r="H129" s="45">
        <f>IF(F129="","",IF(F129&lt;=0,"Payé","En cours"))</f>
        <v/>
      </c>
    </row>
    <row r="130">
      <c r="A130" s="45" t="n"/>
      <c r="B130" s="46" t="n"/>
      <c r="C130" s="47" t="n"/>
      <c r="D130" s="47" t="n"/>
      <c r="E130" s="47" t="n"/>
      <c r="F130" s="47">
        <f>IF(COUNTA(A130:E130)=0,"",(C130+D130)-E130)</f>
        <v/>
      </c>
      <c r="G130" s="48">
        <f>IF(B130="","",TODAY()-B130)</f>
        <v/>
      </c>
      <c r="H130" s="45">
        <f>IF(F130="","",IF(F130&lt;=0,"Payé","En cours"))</f>
        <v/>
      </c>
    </row>
    <row r="131">
      <c r="A131" s="45" t="n"/>
      <c r="B131" s="46" t="n"/>
      <c r="C131" s="47" t="n"/>
      <c r="D131" s="47" t="n"/>
      <c r="E131" s="47" t="n"/>
      <c r="F131" s="47">
        <f>IF(COUNTA(A131:E131)=0,"",(C131+D131)-E131)</f>
        <v/>
      </c>
      <c r="G131" s="48">
        <f>IF(B131="","",TODAY()-B131)</f>
        <v/>
      </c>
      <c r="H131" s="45">
        <f>IF(F131="","",IF(F131&lt;=0,"Payé","En cours"))</f>
        <v/>
      </c>
    </row>
    <row r="132">
      <c r="A132" s="45" t="n"/>
      <c r="B132" s="46" t="n"/>
      <c r="C132" s="47" t="n"/>
      <c r="D132" s="47" t="n"/>
      <c r="E132" s="47" t="n"/>
      <c r="F132" s="47">
        <f>IF(COUNTA(A132:E132)=0,"",(C132+D132)-E132)</f>
        <v/>
      </c>
      <c r="G132" s="48">
        <f>IF(B132="","",TODAY()-B132)</f>
        <v/>
      </c>
      <c r="H132" s="45">
        <f>IF(F132="","",IF(F132&lt;=0,"Payé","En cours"))</f>
        <v/>
      </c>
    </row>
    <row r="133">
      <c r="A133" s="45" t="n"/>
      <c r="B133" s="46" t="n"/>
      <c r="C133" s="47" t="n"/>
      <c r="D133" s="47" t="n"/>
      <c r="E133" s="47" t="n"/>
      <c r="F133" s="47">
        <f>IF(COUNTA(A133:E133)=0,"",(C133+D133)-E133)</f>
        <v/>
      </c>
      <c r="G133" s="48">
        <f>IF(B133="","",TODAY()-B133)</f>
        <v/>
      </c>
      <c r="H133" s="45">
        <f>IF(F133="","",IF(F133&lt;=0,"Payé","En cours"))</f>
        <v/>
      </c>
    </row>
    <row r="134">
      <c r="A134" s="45" t="n"/>
      <c r="B134" s="46" t="n"/>
      <c r="C134" s="47" t="n"/>
      <c r="D134" s="47" t="n"/>
      <c r="E134" s="47" t="n"/>
      <c r="F134" s="47">
        <f>IF(COUNTA(A134:E134)=0,"",(C134+D134)-E134)</f>
        <v/>
      </c>
      <c r="G134" s="48">
        <f>IF(B134="","",TODAY()-B134)</f>
        <v/>
      </c>
      <c r="H134" s="45">
        <f>IF(F134="","",IF(F134&lt;=0,"Payé","En cours"))</f>
        <v/>
      </c>
    </row>
    <row r="135">
      <c r="A135" s="45" t="n"/>
      <c r="B135" s="46" t="n"/>
      <c r="C135" s="47" t="n"/>
      <c r="D135" s="47" t="n"/>
      <c r="E135" s="47" t="n"/>
      <c r="F135" s="47">
        <f>IF(COUNTA(A135:E135)=0,"",(C135+D135)-E135)</f>
        <v/>
      </c>
      <c r="G135" s="48">
        <f>IF(B135="","",TODAY()-B135)</f>
        <v/>
      </c>
      <c r="H135" s="45">
        <f>IF(F135="","",IF(F135&lt;=0,"Payé","En cours"))</f>
        <v/>
      </c>
    </row>
    <row r="136">
      <c r="A136" s="45" t="n"/>
      <c r="B136" s="46" t="n"/>
      <c r="C136" s="47" t="n"/>
      <c r="D136" s="47" t="n"/>
      <c r="E136" s="47" t="n"/>
      <c r="F136" s="47">
        <f>IF(COUNTA(A136:E136)=0,"",(C136+D136)-E136)</f>
        <v/>
      </c>
      <c r="G136" s="48">
        <f>IF(B136="","",TODAY()-B136)</f>
        <v/>
      </c>
      <c r="H136" s="45">
        <f>IF(F136="","",IF(F136&lt;=0,"Payé","En cours"))</f>
        <v/>
      </c>
    </row>
    <row r="137">
      <c r="A137" s="45" t="n"/>
      <c r="B137" s="46" t="n"/>
      <c r="C137" s="47" t="n"/>
      <c r="D137" s="47" t="n"/>
      <c r="E137" s="47" t="n"/>
      <c r="F137" s="47">
        <f>IF(COUNTA(A137:E137)=0,"",(C137+D137)-E137)</f>
        <v/>
      </c>
      <c r="G137" s="48">
        <f>IF(B137="","",TODAY()-B137)</f>
        <v/>
      </c>
      <c r="H137" s="45">
        <f>IF(F137="","",IF(F137&lt;=0,"Payé","En cours"))</f>
        <v/>
      </c>
    </row>
    <row r="138">
      <c r="A138" s="45" t="n"/>
      <c r="B138" s="46" t="n"/>
      <c r="C138" s="47" t="n"/>
      <c r="D138" s="47" t="n"/>
      <c r="E138" s="47" t="n"/>
      <c r="F138" s="47">
        <f>IF(COUNTA(A138:E138)=0,"",(C138+D138)-E138)</f>
        <v/>
      </c>
      <c r="G138" s="48">
        <f>IF(B138="","",TODAY()-B138)</f>
        <v/>
      </c>
      <c r="H138" s="45">
        <f>IF(F138="","",IF(F138&lt;=0,"Payé","En cours"))</f>
        <v/>
      </c>
    </row>
    <row r="139">
      <c r="A139" s="45" t="n"/>
      <c r="B139" s="46" t="n"/>
      <c r="C139" s="47" t="n"/>
      <c r="D139" s="47" t="n"/>
      <c r="E139" s="47" t="n"/>
      <c r="F139" s="47">
        <f>IF(COUNTA(A139:E139)=0,"",(C139+D139)-E139)</f>
        <v/>
      </c>
      <c r="G139" s="48">
        <f>IF(B139="","",TODAY()-B139)</f>
        <v/>
      </c>
      <c r="H139" s="45">
        <f>IF(F139="","",IF(F139&lt;=0,"Payé","En cours"))</f>
        <v/>
      </c>
    </row>
    <row r="140">
      <c r="A140" s="45" t="n"/>
      <c r="B140" s="46" t="n"/>
      <c r="C140" s="47" t="n"/>
      <c r="D140" s="47" t="n"/>
      <c r="E140" s="47" t="n"/>
      <c r="F140" s="47">
        <f>IF(COUNTA(A140:E140)=0,"",(C140+D140)-E140)</f>
        <v/>
      </c>
      <c r="G140" s="48">
        <f>IF(B140="","",TODAY()-B140)</f>
        <v/>
      </c>
      <c r="H140" s="45">
        <f>IF(F140="","",IF(F140&lt;=0,"Payé","En cours"))</f>
        <v/>
      </c>
    </row>
    <row r="141">
      <c r="A141" s="45" t="n"/>
      <c r="B141" s="46" t="n"/>
      <c r="C141" s="47" t="n"/>
      <c r="D141" s="47" t="n"/>
      <c r="E141" s="47" t="n"/>
      <c r="F141" s="47">
        <f>IF(COUNTA(A141:E141)=0,"",(C141+D141)-E141)</f>
        <v/>
      </c>
      <c r="G141" s="48">
        <f>IF(B141="","",TODAY()-B141)</f>
        <v/>
      </c>
      <c r="H141" s="45">
        <f>IF(F141="","",IF(F141&lt;=0,"Payé","En cours"))</f>
        <v/>
      </c>
    </row>
    <row r="142">
      <c r="A142" s="45" t="n"/>
      <c r="B142" s="46" t="n"/>
      <c r="C142" s="47" t="n"/>
      <c r="D142" s="47" t="n"/>
      <c r="E142" s="47" t="n"/>
      <c r="F142" s="47">
        <f>IF(COUNTA(A142:E142)=0,"",(C142+D142)-E142)</f>
        <v/>
      </c>
      <c r="G142" s="48">
        <f>IF(B142="","",TODAY()-B142)</f>
        <v/>
      </c>
      <c r="H142" s="45">
        <f>IF(F142="","",IF(F142&lt;=0,"Payé","En cours"))</f>
        <v/>
      </c>
    </row>
    <row r="143">
      <c r="A143" s="45" t="n"/>
      <c r="B143" s="46" t="n"/>
      <c r="C143" s="47" t="n"/>
      <c r="D143" s="47" t="n"/>
      <c r="E143" s="47" t="n"/>
      <c r="F143" s="47">
        <f>IF(COUNTA(A143:E143)=0,"",(C143+D143)-E143)</f>
        <v/>
      </c>
      <c r="G143" s="48">
        <f>IF(B143="","",TODAY()-B143)</f>
        <v/>
      </c>
      <c r="H143" s="45">
        <f>IF(F143="","",IF(F143&lt;=0,"Payé","En cours"))</f>
        <v/>
      </c>
    </row>
    <row r="144">
      <c r="A144" s="45" t="n"/>
      <c r="B144" s="46" t="n"/>
      <c r="C144" s="47" t="n"/>
      <c r="D144" s="47" t="n"/>
      <c r="E144" s="47" t="n"/>
      <c r="F144" s="47">
        <f>IF(COUNTA(A144:E144)=0,"",(C144+D144)-E144)</f>
        <v/>
      </c>
      <c r="G144" s="48">
        <f>IF(B144="","",TODAY()-B144)</f>
        <v/>
      </c>
      <c r="H144" s="45">
        <f>IF(F144="","",IF(F144&lt;=0,"Payé","En cours"))</f>
        <v/>
      </c>
    </row>
    <row r="145">
      <c r="A145" s="45" t="n"/>
      <c r="B145" s="46" t="n"/>
      <c r="C145" s="47" t="n"/>
      <c r="D145" s="47" t="n"/>
      <c r="E145" s="47" t="n"/>
      <c r="F145" s="47">
        <f>IF(COUNTA(A145:E145)=0,"",(C145+D145)-E145)</f>
        <v/>
      </c>
      <c r="G145" s="48">
        <f>IF(B145="","",TODAY()-B145)</f>
        <v/>
      </c>
      <c r="H145" s="45">
        <f>IF(F145="","",IF(F145&lt;=0,"Payé","En cours"))</f>
        <v/>
      </c>
    </row>
    <row r="146">
      <c r="A146" s="45" t="n"/>
      <c r="B146" s="46" t="n"/>
      <c r="C146" s="47" t="n"/>
      <c r="D146" s="47" t="n"/>
      <c r="E146" s="47" t="n"/>
      <c r="F146" s="47">
        <f>IF(COUNTA(A146:E146)=0,"",(C146+D146)-E146)</f>
        <v/>
      </c>
      <c r="G146" s="48">
        <f>IF(B146="","",TODAY()-B146)</f>
        <v/>
      </c>
      <c r="H146" s="45">
        <f>IF(F146="","",IF(F146&lt;=0,"Payé","En cours"))</f>
        <v/>
      </c>
    </row>
    <row r="147">
      <c r="A147" s="45" t="n"/>
      <c r="B147" s="46" t="n"/>
      <c r="C147" s="47" t="n"/>
      <c r="D147" s="47" t="n"/>
      <c r="E147" s="47" t="n"/>
      <c r="F147" s="47">
        <f>IF(COUNTA(A147:E147)=0,"",(C147+D147)-E147)</f>
        <v/>
      </c>
      <c r="G147" s="48">
        <f>IF(B147="","",TODAY()-B147)</f>
        <v/>
      </c>
      <c r="H147" s="45">
        <f>IF(F147="","",IF(F147&lt;=0,"Payé","En cours"))</f>
        <v/>
      </c>
    </row>
    <row r="148">
      <c r="A148" s="45" t="n"/>
      <c r="B148" s="46" t="n"/>
      <c r="C148" s="47" t="n"/>
      <c r="D148" s="47" t="n"/>
      <c r="E148" s="47" t="n"/>
      <c r="F148" s="47">
        <f>IF(COUNTA(A148:E148)=0,"",(C148+D148)-E148)</f>
        <v/>
      </c>
      <c r="G148" s="48">
        <f>IF(B148="","",TODAY()-B148)</f>
        <v/>
      </c>
      <c r="H148" s="45">
        <f>IF(F148="","",IF(F148&lt;=0,"Payé","En cours"))</f>
        <v/>
      </c>
    </row>
    <row r="149">
      <c r="A149" s="45" t="n"/>
      <c r="B149" s="46" t="n"/>
      <c r="C149" s="47" t="n"/>
      <c r="D149" s="47" t="n"/>
      <c r="E149" s="47" t="n"/>
      <c r="F149" s="47">
        <f>IF(COUNTA(A149:E149)=0,"",(C149+D149)-E149)</f>
        <v/>
      </c>
      <c r="G149" s="48">
        <f>IF(B149="","",TODAY()-B149)</f>
        <v/>
      </c>
      <c r="H149" s="45">
        <f>IF(F149="","",IF(F149&lt;=0,"Payé","En cours"))</f>
        <v/>
      </c>
    </row>
    <row r="150">
      <c r="A150" s="45" t="n"/>
      <c r="B150" s="46" t="n"/>
      <c r="C150" s="47" t="n"/>
      <c r="D150" s="47" t="n"/>
      <c r="E150" s="47" t="n"/>
      <c r="F150" s="47">
        <f>IF(COUNTA(A150:E150)=0,"",(C150+D150)-E150)</f>
        <v/>
      </c>
      <c r="G150" s="48">
        <f>IF(B150="","",TODAY()-B150)</f>
        <v/>
      </c>
      <c r="H150" s="45">
        <f>IF(F150="","",IF(F150&lt;=0,"Payé","En cours"))</f>
        <v/>
      </c>
    </row>
    <row r="151">
      <c r="A151" s="45" t="n"/>
      <c r="B151" s="46" t="n"/>
      <c r="C151" s="47" t="n"/>
      <c r="D151" s="47" t="n"/>
      <c r="E151" s="47" t="n"/>
      <c r="F151" s="47">
        <f>IF(COUNTA(A151:E151)=0,"",(C151+D151)-E151)</f>
        <v/>
      </c>
      <c r="G151" s="48">
        <f>IF(B151="","",TODAY()-B151)</f>
        <v/>
      </c>
      <c r="H151" s="45">
        <f>IF(F151="","",IF(F151&lt;=0,"Payé","En cours"))</f>
        <v/>
      </c>
    </row>
    <row r="152">
      <c r="A152" s="45" t="n"/>
      <c r="B152" s="46" t="n"/>
      <c r="C152" s="47" t="n"/>
      <c r="D152" s="47" t="n"/>
      <c r="E152" s="47" t="n"/>
      <c r="F152" s="47">
        <f>IF(COUNTA(A152:E152)=0,"",(C152+D152)-E152)</f>
        <v/>
      </c>
      <c r="G152" s="48">
        <f>IF(B152="","",TODAY()-B152)</f>
        <v/>
      </c>
      <c r="H152" s="45">
        <f>IF(F152="","",IF(F152&lt;=0,"Payé","En cours"))</f>
        <v/>
      </c>
    </row>
    <row r="153">
      <c r="A153" s="45" t="n"/>
      <c r="B153" s="46" t="n"/>
      <c r="C153" s="47" t="n"/>
      <c r="D153" s="47" t="n"/>
      <c r="E153" s="47" t="n"/>
      <c r="F153" s="47">
        <f>IF(COUNTA(A153:E153)=0,"",(C153+D153)-E153)</f>
        <v/>
      </c>
      <c r="G153" s="48">
        <f>IF(B153="","",TODAY()-B153)</f>
        <v/>
      </c>
      <c r="H153" s="45">
        <f>IF(F153="","",IF(F153&lt;=0,"Payé","En cours"))</f>
        <v/>
      </c>
    </row>
    <row r="154">
      <c r="A154" s="45" t="n"/>
      <c r="B154" s="46" t="n"/>
      <c r="C154" s="47" t="n"/>
      <c r="D154" s="47" t="n"/>
      <c r="E154" s="47" t="n"/>
      <c r="F154" s="47">
        <f>IF(COUNTA(A154:E154)=0,"",(C154+D154)-E154)</f>
        <v/>
      </c>
      <c r="G154" s="48">
        <f>IF(B154="","",TODAY()-B154)</f>
        <v/>
      </c>
      <c r="H154" s="45">
        <f>IF(F154="","",IF(F154&lt;=0,"Payé","En cours"))</f>
        <v/>
      </c>
    </row>
    <row r="155">
      <c r="A155" s="45" t="n"/>
      <c r="B155" s="46" t="n"/>
      <c r="C155" s="47" t="n"/>
      <c r="D155" s="47" t="n"/>
      <c r="E155" s="47" t="n"/>
      <c r="F155" s="47">
        <f>IF(COUNTA(A155:E155)=0,"",(C155+D155)-E155)</f>
        <v/>
      </c>
      <c r="G155" s="48">
        <f>IF(B155="","",TODAY()-B155)</f>
        <v/>
      </c>
      <c r="H155" s="45">
        <f>IF(F155="","",IF(F155&lt;=0,"Payé","En cours"))</f>
        <v/>
      </c>
    </row>
    <row r="156">
      <c r="A156" s="45" t="n"/>
      <c r="B156" s="46" t="n"/>
      <c r="C156" s="47" t="n"/>
      <c r="D156" s="47" t="n"/>
      <c r="E156" s="47" t="n"/>
      <c r="F156" s="47">
        <f>IF(COUNTA(A156:E156)=0,"",(C156+D156)-E156)</f>
        <v/>
      </c>
      <c r="G156" s="48">
        <f>IF(B156="","",TODAY()-B156)</f>
        <v/>
      </c>
      <c r="H156" s="45">
        <f>IF(F156="","",IF(F156&lt;=0,"Payé","En cours"))</f>
        <v/>
      </c>
    </row>
    <row r="157">
      <c r="A157" s="45" t="n"/>
      <c r="B157" s="46" t="n"/>
      <c r="C157" s="47" t="n"/>
      <c r="D157" s="47" t="n"/>
      <c r="E157" s="47" t="n"/>
      <c r="F157" s="47">
        <f>IF(COUNTA(A157:E157)=0,"",(C157+D157)-E157)</f>
        <v/>
      </c>
      <c r="G157" s="48">
        <f>IF(B157="","",TODAY()-B157)</f>
        <v/>
      </c>
      <c r="H157" s="45">
        <f>IF(F157="","",IF(F157&lt;=0,"Payé","En cours"))</f>
        <v/>
      </c>
    </row>
    <row r="158">
      <c r="A158" s="45" t="n"/>
      <c r="B158" s="46" t="n"/>
      <c r="C158" s="47" t="n"/>
      <c r="D158" s="47" t="n"/>
      <c r="E158" s="47" t="n"/>
      <c r="F158" s="47">
        <f>IF(COUNTA(A158:E158)=0,"",(C158+D158)-E158)</f>
        <v/>
      </c>
      <c r="G158" s="48">
        <f>IF(B158="","",TODAY()-B158)</f>
        <v/>
      </c>
      <c r="H158" s="45">
        <f>IF(F158="","",IF(F158&lt;=0,"Payé","En cours"))</f>
        <v/>
      </c>
    </row>
    <row r="159">
      <c r="A159" s="45" t="n"/>
      <c r="B159" s="46" t="n"/>
      <c r="C159" s="47" t="n"/>
      <c r="D159" s="47" t="n"/>
      <c r="E159" s="47" t="n"/>
      <c r="F159" s="47">
        <f>IF(COUNTA(A159:E159)=0,"",(C159+D159)-E159)</f>
        <v/>
      </c>
      <c r="G159" s="48">
        <f>IF(B159="","",TODAY()-B159)</f>
        <v/>
      </c>
      <c r="H159" s="45">
        <f>IF(F159="","",IF(F159&lt;=0,"Payé","En cours"))</f>
        <v/>
      </c>
    </row>
    <row r="160">
      <c r="A160" s="45" t="n"/>
      <c r="B160" s="46" t="n"/>
      <c r="C160" s="47" t="n"/>
      <c r="D160" s="47" t="n"/>
      <c r="E160" s="47" t="n"/>
      <c r="F160" s="47">
        <f>IF(COUNTA(A160:E160)=0,"",(C160+D160)-E160)</f>
        <v/>
      </c>
      <c r="G160" s="48">
        <f>IF(B160="","",TODAY()-B160)</f>
        <v/>
      </c>
      <c r="H160" s="45">
        <f>IF(F160="","",IF(F160&lt;=0,"Payé","En cours"))</f>
        <v/>
      </c>
    </row>
    <row r="161">
      <c r="A161" s="45" t="n"/>
      <c r="B161" s="46" t="n"/>
      <c r="C161" s="47" t="n"/>
      <c r="D161" s="47" t="n"/>
      <c r="E161" s="47" t="n"/>
      <c r="F161" s="47">
        <f>IF(COUNTA(A161:E161)=0,"",(C161+D161)-E161)</f>
        <v/>
      </c>
      <c r="G161" s="48">
        <f>IF(B161="","",TODAY()-B161)</f>
        <v/>
      </c>
      <c r="H161" s="45">
        <f>IF(F161="","",IF(F161&lt;=0,"Payé","En cours"))</f>
        <v/>
      </c>
    </row>
    <row r="162">
      <c r="A162" s="45" t="n"/>
      <c r="B162" s="46" t="n"/>
      <c r="C162" s="47" t="n"/>
      <c r="D162" s="47" t="n"/>
      <c r="E162" s="47" t="n"/>
      <c r="F162" s="47">
        <f>IF(COUNTA(A162:E162)=0,"",(C162+D162)-E162)</f>
        <v/>
      </c>
      <c r="G162" s="48">
        <f>IF(B162="","",TODAY()-B162)</f>
        <v/>
      </c>
      <c r="H162" s="45">
        <f>IF(F162="","",IF(F162&lt;=0,"Payé","En cours"))</f>
        <v/>
      </c>
    </row>
    <row r="163">
      <c r="A163" s="45" t="n"/>
      <c r="B163" s="46" t="n"/>
      <c r="C163" s="47" t="n"/>
      <c r="D163" s="47" t="n"/>
      <c r="E163" s="47" t="n"/>
      <c r="F163" s="47">
        <f>IF(COUNTA(A163:E163)=0,"",(C163+D163)-E163)</f>
        <v/>
      </c>
      <c r="G163" s="48">
        <f>IF(B163="","",TODAY()-B163)</f>
        <v/>
      </c>
      <c r="H163" s="45">
        <f>IF(F163="","",IF(F163&lt;=0,"Payé","En cours"))</f>
        <v/>
      </c>
    </row>
    <row r="164">
      <c r="A164" s="45" t="n"/>
      <c r="B164" s="46" t="n"/>
      <c r="C164" s="47" t="n"/>
      <c r="D164" s="47" t="n"/>
      <c r="E164" s="47" t="n"/>
      <c r="F164" s="47">
        <f>IF(COUNTA(A164:E164)=0,"",(C164+D164)-E164)</f>
        <v/>
      </c>
      <c r="G164" s="48">
        <f>IF(B164="","",TODAY()-B164)</f>
        <v/>
      </c>
      <c r="H164" s="45">
        <f>IF(F164="","",IF(F164&lt;=0,"Payé","En cours"))</f>
        <v/>
      </c>
    </row>
    <row r="165">
      <c r="A165" s="45" t="n"/>
      <c r="B165" s="46" t="n"/>
      <c r="C165" s="47" t="n"/>
      <c r="D165" s="47" t="n"/>
      <c r="E165" s="47" t="n"/>
      <c r="F165" s="47">
        <f>IF(COUNTA(A165:E165)=0,"",(C165+D165)-E165)</f>
        <v/>
      </c>
      <c r="G165" s="48">
        <f>IF(B165="","",TODAY()-B165)</f>
        <v/>
      </c>
      <c r="H165" s="45">
        <f>IF(F165="","",IF(F165&lt;=0,"Payé","En cours"))</f>
        <v/>
      </c>
    </row>
    <row r="166">
      <c r="A166" s="45" t="n"/>
      <c r="B166" s="46" t="n"/>
      <c r="C166" s="47" t="n"/>
      <c r="D166" s="47" t="n"/>
      <c r="E166" s="47" t="n"/>
      <c r="F166" s="47">
        <f>IF(COUNTA(A166:E166)=0,"",(C166+D166)-E166)</f>
        <v/>
      </c>
      <c r="G166" s="48">
        <f>IF(B166="","",TODAY()-B166)</f>
        <v/>
      </c>
      <c r="H166" s="45">
        <f>IF(F166="","",IF(F166&lt;=0,"Payé","En cours"))</f>
        <v/>
      </c>
    </row>
    <row r="167">
      <c r="A167" s="45" t="n"/>
      <c r="B167" s="46" t="n"/>
      <c r="C167" s="47" t="n"/>
      <c r="D167" s="47" t="n"/>
      <c r="E167" s="47" t="n"/>
      <c r="F167" s="47">
        <f>IF(COUNTA(A167:E167)=0,"",(C167+D167)-E167)</f>
        <v/>
      </c>
      <c r="G167" s="48">
        <f>IF(B167="","",TODAY()-B167)</f>
        <v/>
      </c>
      <c r="H167" s="45">
        <f>IF(F167="","",IF(F167&lt;=0,"Payé","En cours"))</f>
        <v/>
      </c>
    </row>
    <row r="168">
      <c r="A168" s="45" t="n"/>
      <c r="B168" s="46" t="n"/>
      <c r="C168" s="47" t="n"/>
      <c r="D168" s="47" t="n"/>
      <c r="E168" s="47" t="n"/>
      <c r="F168" s="47">
        <f>IF(COUNTA(A168:E168)=0,"",(C168+D168)-E168)</f>
        <v/>
      </c>
      <c r="G168" s="48">
        <f>IF(B168="","",TODAY()-B168)</f>
        <v/>
      </c>
      <c r="H168" s="45">
        <f>IF(F168="","",IF(F168&lt;=0,"Payé","En cours"))</f>
        <v/>
      </c>
    </row>
    <row r="169">
      <c r="A169" s="45" t="n"/>
      <c r="B169" s="46" t="n"/>
      <c r="C169" s="47" t="n"/>
      <c r="D169" s="47" t="n"/>
      <c r="E169" s="47" t="n"/>
      <c r="F169" s="47">
        <f>IF(COUNTA(A169:E169)=0,"",(C169+D169)-E169)</f>
        <v/>
      </c>
      <c r="G169" s="48">
        <f>IF(B169="","",TODAY()-B169)</f>
        <v/>
      </c>
      <c r="H169" s="45">
        <f>IF(F169="","",IF(F169&lt;=0,"Payé","En cours"))</f>
        <v/>
      </c>
    </row>
    <row r="170">
      <c r="A170" s="45" t="n"/>
      <c r="B170" s="46" t="n"/>
      <c r="C170" s="47" t="n"/>
      <c r="D170" s="47" t="n"/>
      <c r="E170" s="47" t="n"/>
      <c r="F170" s="47">
        <f>IF(COUNTA(A170:E170)=0,"",(C170+D170)-E170)</f>
        <v/>
      </c>
      <c r="G170" s="48">
        <f>IF(B170="","",TODAY()-B170)</f>
        <v/>
      </c>
      <c r="H170" s="45">
        <f>IF(F170="","",IF(F170&lt;=0,"Payé","En cours"))</f>
        <v/>
      </c>
    </row>
    <row r="171">
      <c r="A171" s="45" t="n"/>
      <c r="B171" s="46" t="n"/>
      <c r="C171" s="47" t="n"/>
      <c r="D171" s="47" t="n"/>
      <c r="E171" s="47" t="n"/>
      <c r="F171" s="47">
        <f>IF(COUNTA(A171:E171)=0,"",(C171+D171)-E171)</f>
        <v/>
      </c>
      <c r="G171" s="48">
        <f>IF(B171="","",TODAY()-B171)</f>
        <v/>
      </c>
      <c r="H171" s="45">
        <f>IF(F171="","",IF(F171&lt;=0,"Payé","En cours"))</f>
        <v/>
      </c>
    </row>
    <row r="172">
      <c r="A172" s="45" t="n"/>
      <c r="B172" s="46" t="n"/>
      <c r="C172" s="47" t="n"/>
      <c r="D172" s="47" t="n"/>
      <c r="E172" s="47" t="n"/>
      <c r="F172" s="47">
        <f>IF(COUNTA(A172:E172)=0,"",(C172+D172)-E172)</f>
        <v/>
      </c>
      <c r="G172" s="48">
        <f>IF(B172="","",TODAY()-B172)</f>
        <v/>
      </c>
      <c r="H172" s="45">
        <f>IF(F172="","",IF(F172&lt;=0,"Payé","En cours"))</f>
        <v/>
      </c>
    </row>
    <row r="173">
      <c r="A173" s="45" t="n"/>
      <c r="B173" s="46" t="n"/>
      <c r="C173" s="47" t="n"/>
      <c r="D173" s="47" t="n"/>
      <c r="E173" s="47" t="n"/>
      <c r="F173" s="47">
        <f>IF(COUNTA(A173:E173)=0,"",(C173+D173)-E173)</f>
        <v/>
      </c>
      <c r="G173" s="48">
        <f>IF(B173="","",TODAY()-B173)</f>
        <v/>
      </c>
      <c r="H173" s="45">
        <f>IF(F173="","",IF(F173&lt;=0,"Payé","En cours"))</f>
        <v/>
      </c>
    </row>
    <row r="174">
      <c r="A174" s="45" t="n"/>
      <c r="B174" s="46" t="n"/>
      <c r="C174" s="47" t="n"/>
      <c r="D174" s="47" t="n"/>
      <c r="E174" s="47" t="n"/>
      <c r="F174" s="47">
        <f>IF(COUNTA(A174:E174)=0,"",(C174+D174)-E174)</f>
        <v/>
      </c>
      <c r="G174" s="48">
        <f>IF(B174="","",TODAY()-B174)</f>
        <v/>
      </c>
      <c r="H174" s="45">
        <f>IF(F174="","",IF(F174&lt;=0,"Payé","En cours"))</f>
        <v/>
      </c>
    </row>
    <row r="175">
      <c r="A175" s="45" t="n"/>
      <c r="B175" s="46" t="n"/>
      <c r="C175" s="47" t="n"/>
      <c r="D175" s="47" t="n"/>
      <c r="E175" s="47" t="n"/>
      <c r="F175" s="47">
        <f>IF(COUNTA(A175:E175)=0,"",(C175+D175)-E175)</f>
        <v/>
      </c>
      <c r="G175" s="48">
        <f>IF(B175="","",TODAY()-B175)</f>
        <v/>
      </c>
      <c r="H175" s="45">
        <f>IF(F175="","",IF(F175&lt;=0,"Payé","En cours"))</f>
        <v/>
      </c>
    </row>
    <row r="176">
      <c r="A176" s="45" t="n"/>
      <c r="B176" s="46" t="n"/>
      <c r="C176" s="47" t="n"/>
      <c r="D176" s="47" t="n"/>
      <c r="E176" s="47" t="n"/>
      <c r="F176" s="47">
        <f>IF(COUNTA(A176:E176)=0,"",(C176+D176)-E176)</f>
        <v/>
      </c>
      <c r="G176" s="48">
        <f>IF(B176="","",TODAY()-B176)</f>
        <v/>
      </c>
      <c r="H176" s="45">
        <f>IF(F176="","",IF(F176&lt;=0,"Payé","En cours"))</f>
        <v/>
      </c>
    </row>
    <row r="177">
      <c r="A177" s="45" t="n"/>
      <c r="B177" s="46" t="n"/>
      <c r="C177" s="47" t="n"/>
      <c r="D177" s="47" t="n"/>
      <c r="E177" s="47" t="n"/>
      <c r="F177" s="47">
        <f>IF(COUNTA(A177:E177)=0,"",(C177+D177)-E177)</f>
        <v/>
      </c>
      <c r="G177" s="48">
        <f>IF(B177="","",TODAY()-B177)</f>
        <v/>
      </c>
      <c r="H177" s="45">
        <f>IF(F177="","",IF(F177&lt;=0,"Payé","En cours"))</f>
        <v/>
      </c>
    </row>
    <row r="178">
      <c r="A178" s="45" t="n"/>
      <c r="B178" s="46" t="n"/>
      <c r="C178" s="47" t="n"/>
      <c r="D178" s="47" t="n"/>
      <c r="E178" s="47" t="n"/>
      <c r="F178" s="47">
        <f>IF(COUNTA(A178:E178)=0,"",(C178+D178)-E178)</f>
        <v/>
      </c>
      <c r="G178" s="48">
        <f>IF(B178="","",TODAY()-B178)</f>
        <v/>
      </c>
      <c r="H178" s="45">
        <f>IF(F178="","",IF(F178&lt;=0,"Payé","En cours"))</f>
        <v/>
      </c>
    </row>
    <row r="179">
      <c r="A179" s="45" t="n"/>
      <c r="B179" s="46" t="n"/>
      <c r="C179" s="47" t="n"/>
      <c r="D179" s="47" t="n"/>
      <c r="E179" s="47" t="n"/>
      <c r="F179" s="47">
        <f>IF(COUNTA(A179:E179)=0,"",(C179+D179)-E179)</f>
        <v/>
      </c>
      <c r="G179" s="48">
        <f>IF(B179="","",TODAY()-B179)</f>
        <v/>
      </c>
      <c r="H179" s="45">
        <f>IF(F179="","",IF(F179&lt;=0,"Payé","En cours"))</f>
        <v/>
      </c>
    </row>
    <row r="180">
      <c r="A180" s="45" t="n"/>
      <c r="B180" s="46" t="n"/>
      <c r="C180" s="47" t="n"/>
      <c r="D180" s="47" t="n"/>
      <c r="E180" s="47" t="n"/>
      <c r="F180" s="47">
        <f>IF(COUNTA(A180:E180)=0,"",(C180+D180)-E180)</f>
        <v/>
      </c>
      <c r="G180" s="48">
        <f>IF(B180="","",TODAY()-B180)</f>
        <v/>
      </c>
      <c r="H180" s="45">
        <f>IF(F180="","",IF(F180&lt;=0,"Payé","En cours"))</f>
        <v/>
      </c>
    </row>
    <row r="181">
      <c r="A181" s="45" t="n"/>
      <c r="B181" s="46" t="n"/>
      <c r="C181" s="47" t="n"/>
      <c r="D181" s="47" t="n"/>
      <c r="E181" s="47" t="n"/>
      <c r="F181" s="47">
        <f>IF(COUNTA(A181:E181)=0,"",(C181+D181)-E181)</f>
        <v/>
      </c>
      <c r="G181" s="48">
        <f>IF(B181="","",TODAY()-B181)</f>
        <v/>
      </c>
      <c r="H181" s="45">
        <f>IF(F181="","",IF(F181&lt;=0,"Payé","En cours"))</f>
        <v/>
      </c>
    </row>
    <row r="182">
      <c r="A182" s="45" t="n"/>
      <c r="B182" s="46" t="n"/>
      <c r="C182" s="47" t="n"/>
      <c r="D182" s="47" t="n"/>
      <c r="E182" s="47" t="n"/>
      <c r="F182" s="47">
        <f>IF(COUNTA(A182:E182)=0,"",(C182+D182)-E182)</f>
        <v/>
      </c>
      <c r="G182" s="48">
        <f>IF(B182="","",TODAY()-B182)</f>
        <v/>
      </c>
      <c r="H182" s="45">
        <f>IF(F182="","",IF(F182&lt;=0,"Payé","En cours"))</f>
        <v/>
      </c>
    </row>
    <row r="183">
      <c r="A183" s="45" t="n"/>
      <c r="B183" s="46" t="n"/>
      <c r="C183" s="47" t="n"/>
      <c r="D183" s="47" t="n"/>
      <c r="E183" s="47" t="n"/>
      <c r="F183" s="47">
        <f>IF(COUNTA(A183:E183)=0,"",(C183+D183)-E183)</f>
        <v/>
      </c>
      <c r="G183" s="48">
        <f>IF(B183="","",TODAY()-B183)</f>
        <v/>
      </c>
      <c r="H183" s="45">
        <f>IF(F183="","",IF(F183&lt;=0,"Payé","En cours"))</f>
        <v/>
      </c>
    </row>
    <row r="184">
      <c r="A184" s="45" t="n"/>
      <c r="B184" s="46" t="n"/>
      <c r="C184" s="47" t="n"/>
      <c r="D184" s="47" t="n"/>
      <c r="E184" s="47" t="n"/>
      <c r="F184" s="47">
        <f>IF(COUNTA(A184:E184)=0,"",(C184+D184)-E184)</f>
        <v/>
      </c>
      <c r="G184" s="48">
        <f>IF(B184="","",TODAY()-B184)</f>
        <v/>
      </c>
      <c r="H184" s="45">
        <f>IF(F184="","",IF(F184&lt;=0,"Payé","En cours"))</f>
        <v/>
      </c>
    </row>
    <row r="185">
      <c r="A185" s="45" t="n"/>
      <c r="B185" s="46" t="n"/>
      <c r="C185" s="47" t="n"/>
      <c r="D185" s="47" t="n"/>
      <c r="E185" s="47" t="n"/>
      <c r="F185" s="47">
        <f>IF(COUNTA(A185:E185)=0,"",(C185+D185)-E185)</f>
        <v/>
      </c>
      <c r="G185" s="48">
        <f>IF(B185="","",TODAY()-B185)</f>
        <v/>
      </c>
      <c r="H185" s="45">
        <f>IF(F185="","",IF(F185&lt;=0,"Payé","En cours"))</f>
        <v/>
      </c>
    </row>
    <row r="186">
      <c r="A186" s="45" t="n"/>
      <c r="B186" s="46" t="n"/>
      <c r="C186" s="47" t="n"/>
      <c r="D186" s="47" t="n"/>
      <c r="E186" s="47" t="n"/>
      <c r="F186" s="47">
        <f>IF(COUNTA(A186:E186)=0,"",(C186+D186)-E186)</f>
        <v/>
      </c>
      <c r="G186" s="48">
        <f>IF(B186="","",TODAY()-B186)</f>
        <v/>
      </c>
      <c r="H186" s="45">
        <f>IF(F186="","",IF(F186&lt;=0,"Payé","En cours"))</f>
        <v/>
      </c>
    </row>
    <row r="187">
      <c r="A187" s="45" t="n"/>
      <c r="B187" s="46" t="n"/>
      <c r="C187" s="47" t="n"/>
      <c r="D187" s="47" t="n"/>
      <c r="E187" s="47" t="n"/>
      <c r="F187" s="47">
        <f>IF(COUNTA(A187:E187)=0,"",(C187+D187)-E187)</f>
        <v/>
      </c>
      <c r="G187" s="48">
        <f>IF(B187="","",TODAY()-B187)</f>
        <v/>
      </c>
      <c r="H187" s="45">
        <f>IF(F187="","",IF(F187&lt;=0,"Payé","En cours"))</f>
        <v/>
      </c>
    </row>
    <row r="188">
      <c r="A188" s="45" t="n"/>
      <c r="B188" s="46" t="n"/>
      <c r="C188" s="47" t="n"/>
      <c r="D188" s="47" t="n"/>
      <c r="E188" s="47" t="n"/>
      <c r="F188" s="47">
        <f>IF(COUNTA(A188:E188)=0,"",(C188+D188)-E188)</f>
        <v/>
      </c>
      <c r="G188" s="48">
        <f>IF(B188="","",TODAY()-B188)</f>
        <v/>
      </c>
      <c r="H188" s="45">
        <f>IF(F188="","",IF(F188&lt;=0,"Payé","En cours"))</f>
        <v/>
      </c>
    </row>
    <row r="189">
      <c r="A189" s="45" t="n"/>
      <c r="B189" s="46" t="n"/>
      <c r="C189" s="47" t="n"/>
      <c r="D189" s="47" t="n"/>
      <c r="E189" s="47" t="n"/>
      <c r="F189" s="47">
        <f>IF(COUNTA(A189:E189)=0,"",(C189+D189)-E189)</f>
        <v/>
      </c>
      <c r="G189" s="48">
        <f>IF(B189="","",TODAY()-B189)</f>
        <v/>
      </c>
      <c r="H189" s="45">
        <f>IF(F189="","",IF(F189&lt;=0,"Payé","En cours"))</f>
        <v/>
      </c>
    </row>
    <row r="190">
      <c r="A190" s="45" t="n"/>
      <c r="B190" s="46" t="n"/>
      <c r="C190" s="47" t="n"/>
      <c r="D190" s="47" t="n"/>
      <c r="E190" s="47" t="n"/>
      <c r="F190" s="47">
        <f>IF(COUNTA(A190:E190)=0,"",(C190+D190)-E190)</f>
        <v/>
      </c>
      <c r="G190" s="48">
        <f>IF(B190="","",TODAY()-B190)</f>
        <v/>
      </c>
      <c r="H190" s="45">
        <f>IF(F190="","",IF(F190&lt;=0,"Payé","En cours"))</f>
        <v/>
      </c>
    </row>
    <row r="191">
      <c r="A191" s="45" t="n"/>
      <c r="B191" s="46" t="n"/>
      <c r="C191" s="47" t="n"/>
      <c r="D191" s="47" t="n"/>
      <c r="E191" s="47" t="n"/>
      <c r="F191" s="47">
        <f>IF(COUNTA(A191:E191)=0,"",(C191+D191)-E191)</f>
        <v/>
      </c>
      <c r="G191" s="48">
        <f>IF(B191="","",TODAY()-B191)</f>
        <v/>
      </c>
      <c r="H191" s="45">
        <f>IF(F191="","",IF(F191&lt;=0,"Payé","En cours"))</f>
        <v/>
      </c>
    </row>
    <row r="192">
      <c r="A192" s="45" t="n"/>
      <c r="B192" s="46" t="n"/>
      <c r="C192" s="47" t="n"/>
      <c r="D192" s="47" t="n"/>
      <c r="E192" s="47" t="n"/>
      <c r="F192" s="47">
        <f>IF(COUNTA(A192:E192)=0,"",(C192+D192)-E192)</f>
        <v/>
      </c>
      <c r="G192" s="48">
        <f>IF(B192="","",TODAY()-B192)</f>
        <v/>
      </c>
      <c r="H192" s="45">
        <f>IF(F192="","",IF(F192&lt;=0,"Payé","En cours"))</f>
        <v/>
      </c>
    </row>
    <row r="193">
      <c r="A193" s="45" t="n"/>
      <c r="B193" s="46" t="n"/>
      <c r="C193" s="47" t="n"/>
      <c r="D193" s="47" t="n"/>
      <c r="E193" s="47" t="n"/>
      <c r="F193" s="47">
        <f>IF(COUNTA(A193:E193)=0,"",(C193+D193)-E193)</f>
        <v/>
      </c>
      <c r="G193" s="48">
        <f>IF(B193="","",TODAY()-B193)</f>
        <v/>
      </c>
      <c r="H193" s="45">
        <f>IF(F193="","",IF(F193&lt;=0,"Payé","En cours"))</f>
        <v/>
      </c>
    </row>
    <row r="194">
      <c r="A194" s="45" t="n"/>
      <c r="B194" s="46" t="n"/>
      <c r="C194" s="47" t="n"/>
      <c r="D194" s="47" t="n"/>
      <c r="E194" s="47" t="n"/>
      <c r="F194" s="47">
        <f>IF(COUNTA(A194:E194)=0,"",(C194+D194)-E194)</f>
        <v/>
      </c>
      <c r="G194" s="48">
        <f>IF(B194="","",TODAY()-B194)</f>
        <v/>
      </c>
      <c r="H194" s="45">
        <f>IF(F194="","",IF(F194&lt;=0,"Payé","En cours"))</f>
        <v/>
      </c>
    </row>
    <row r="195">
      <c r="A195" s="45" t="n"/>
      <c r="B195" s="46" t="n"/>
      <c r="C195" s="47" t="n"/>
      <c r="D195" s="47" t="n"/>
      <c r="E195" s="47" t="n"/>
      <c r="F195" s="47">
        <f>IF(COUNTA(A195:E195)=0,"",(C195+D195)-E195)</f>
        <v/>
      </c>
      <c r="G195" s="48">
        <f>IF(B195="","",TODAY()-B195)</f>
        <v/>
      </c>
      <c r="H195" s="45">
        <f>IF(F195="","",IF(F195&lt;=0,"Payé","En cours"))</f>
        <v/>
      </c>
    </row>
    <row r="196">
      <c r="A196" s="45" t="n"/>
      <c r="B196" s="46" t="n"/>
      <c r="C196" s="47" t="n"/>
      <c r="D196" s="47" t="n"/>
      <c r="E196" s="47" t="n"/>
      <c r="F196" s="47">
        <f>IF(COUNTA(A196:E196)=0,"",(C196+D196)-E196)</f>
        <v/>
      </c>
      <c r="G196" s="48">
        <f>IF(B196="","",TODAY()-B196)</f>
        <v/>
      </c>
      <c r="H196" s="45">
        <f>IF(F196="","",IF(F196&lt;=0,"Payé","En cours"))</f>
        <v/>
      </c>
    </row>
    <row r="197">
      <c r="A197" s="45" t="n"/>
      <c r="B197" s="46" t="n"/>
      <c r="C197" s="47" t="n"/>
      <c r="D197" s="47" t="n"/>
      <c r="E197" s="47" t="n"/>
      <c r="F197" s="47">
        <f>IF(COUNTA(A197:E197)=0,"",(C197+D197)-E197)</f>
        <v/>
      </c>
      <c r="G197" s="48">
        <f>IF(B197="","",TODAY()-B197)</f>
        <v/>
      </c>
      <c r="H197" s="45">
        <f>IF(F197="","",IF(F197&lt;=0,"Payé","En cours"))</f>
        <v/>
      </c>
    </row>
    <row r="198">
      <c r="A198" s="45" t="n"/>
      <c r="B198" s="46" t="n"/>
      <c r="C198" s="47" t="n"/>
      <c r="D198" s="47" t="n"/>
      <c r="E198" s="47" t="n"/>
      <c r="F198" s="47">
        <f>IF(COUNTA(A198:E198)=0,"",(C198+D198)-E198)</f>
        <v/>
      </c>
      <c r="G198" s="48">
        <f>IF(B198="","",TODAY()-B198)</f>
        <v/>
      </c>
      <c r="H198" s="45">
        <f>IF(F198="","",IF(F198&lt;=0,"Payé","En cours"))</f>
        <v/>
      </c>
    </row>
    <row r="199">
      <c r="A199" s="45" t="n"/>
      <c r="B199" s="46" t="n"/>
      <c r="C199" s="47" t="n"/>
      <c r="D199" s="47" t="n"/>
      <c r="E199" s="47" t="n"/>
      <c r="F199" s="47">
        <f>IF(COUNTA(A199:E199)=0,"",(C199+D199)-E199)</f>
        <v/>
      </c>
      <c r="G199" s="48">
        <f>IF(B199="","",TODAY()-B199)</f>
        <v/>
      </c>
      <c r="H199" s="45">
        <f>IF(F199="","",IF(F199&lt;=0,"Payé","En cours"))</f>
        <v/>
      </c>
    </row>
    <row r="200">
      <c r="A200" s="45" t="n"/>
      <c r="B200" s="46" t="n"/>
      <c r="C200" s="47" t="n"/>
      <c r="D200" s="47" t="n"/>
      <c r="E200" s="47" t="n"/>
      <c r="F200" s="47">
        <f>IF(COUNTA(A200:E200)=0,"",(C200+D200)-E200)</f>
        <v/>
      </c>
      <c r="G200" s="48">
        <f>IF(B200="","",TODAY()-B200)</f>
        <v/>
      </c>
      <c r="H200" s="45">
        <f>IF(F200="","",IF(F200&lt;=0,"Payé","En cours"))</f>
        <v/>
      </c>
    </row>
    <row r="201">
      <c r="A201" s="45" t="n"/>
      <c r="B201" s="46" t="n"/>
      <c r="C201" s="47" t="n"/>
      <c r="D201" s="47" t="n"/>
      <c r="E201" s="47" t="n"/>
      <c r="F201" s="47">
        <f>IF(COUNTA(A201:E201)=0,"",(C201+D201)-E201)</f>
        <v/>
      </c>
      <c r="G201" s="48">
        <f>IF(B201="","",TODAY()-B201)</f>
        <v/>
      </c>
      <c r="H201" s="45">
        <f>IF(F201="","",IF(F201&lt;=0,"Payé","En cours"))</f>
        <v/>
      </c>
    </row>
    <row r="202" ht="20" customHeight="1">
      <c r="A202" s="6" t="inlineStr">
        <is>
          <t>SOMMATION</t>
        </is>
      </c>
      <c r="B202" s="7" t="n"/>
      <c r="C202" s="8">
        <f>SUM(C2:C201)</f>
        <v/>
      </c>
      <c r="D202" s="8">
        <f>SUM(D2:D201)</f>
        <v/>
      </c>
      <c r="E202" s="8">
        <f>SUM(E2:E201)</f>
        <v/>
      </c>
      <c r="F202" s="8">
        <f>SUM(F2:F201)</f>
        <v/>
      </c>
    </row>
  </sheetData>
  <conditionalFormatting sqref="G2:G201">
    <cfRule type="cellIs" priority="1" operator="greaterThan" dxfId="0">
      <formula>30</formula>
    </cfRule>
  </conditionalFormatting>
  <conditionalFormatting sqref="F2:F201">
    <cfRule type="cellIs" priority="2" operator="greaterThan" dxfId="1">
      <formula>0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t="inlineStr">
        <is>
          <t>Synthèse Dettes Clients (par client)</t>
        </is>
      </c>
    </row>
    <row r="2" ht="22" customHeight="1">
      <c r="A2" s="49" t="inlineStr">
        <is>
          <t>Client</t>
        </is>
      </c>
      <c r="B2" s="49" t="inlineStr">
        <is>
          <t>Total Dette CDF</t>
        </is>
      </c>
      <c r="C2" s="49" t="inlineStr">
        <is>
          <t>Total Dette USD</t>
        </is>
      </c>
      <c r="D2" s="49" t="inlineStr">
        <is>
          <t>Total Paiements</t>
        </is>
      </c>
      <c r="E2" s="49" t="inlineStr">
        <is>
          <t>Reste à payer</t>
        </is>
      </c>
    </row>
    <row r="3">
      <c r="A3" s="50" t="inlineStr">
        <is>
          <t>(Entrez / collez ici la liste des clients uniques en colonne A à partir de la ligne 3)</t>
        </is>
      </c>
      <c r="B3" s="45" t="n"/>
      <c r="C3" s="45" t="n"/>
      <c r="D3" s="45" t="n"/>
      <c r="E3" s="45" t="n"/>
    </row>
    <row r="4">
      <c r="A4" s="45" t="n"/>
      <c r="B4" s="47">
        <f>IF($A4="","",SUMIFS('Dettes Clients'!$C$2:$C$201,'Dettes Clients'!$A$2:$A$201,$A4))</f>
        <v/>
      </c>
      <c r="C4" s="47">
        <f>IF($A4="","",SUMIFS('Dettes Clients'!$D$2:$D$201,'Dettes Clients'!$A$2:$A$201,$A4))</f>
        <v/>
      </c>
      <c r="D4" s="47">
        <f>IF($A4="","",SUMIFS('Dettes Clients'!$E$2:$E$201,'Dettes Clients'!$A$2:$A$201,$A4))</f>
        <v/>
      </c>
      <c r="E4" s="47">
        <f>IF($A4="","",$B4+$C4-$D4)</f>
        <v/>
      </c>
    </row>
    <row r="5">
      <c r="A5" s="45" t="n"/>
      <c r="B5" s="47">
        <f>IF($A5="","",SUMIFS('Dettes Clients'!$C$2:$C$201,'Dettes Clients'!$A$2:$A$201,$A5))</f>
        <v/>
      </c>
      <c r="C5" s="47">
        <f>IF($A5="","",SUMIFS('Dettes Clients'!$D$2:$D$201,'Dettes Clients'!$A$2:$A$201,$A5))</f>
        <v/>
      </c>
      <c r="D5" s="47">
        <f>IF($A5="","",SUMIFS('Dettes Clients'!$E$2:$E$201,'Dettes Clients'!$A$2:$A$201,$A5))</f>
        <v/>
      </c>
      <c r="E5" s="47">
        <f>IF($A5="","",$B5+$C5-$D5)</f>
        <v/>
      </c>
    </row>
    <row r="6">
      <c r="A6" s="45" t="n"/>
      <c r="B6" s="47">
        <f>IF($A6="","",SUMIFS('Dettes Clients'!$C$2:$C$201,'Dettes Clients'!$A$2:$A$201,$A6))</f>
        <v/>
      </c>
      <c r="C6" s="47">
        <f>IF($A6="","",SUMIFS('Dettes Clients'!$D$2:$D$201,'Dettes Clients'!$A$2:$A$201,$A6))</f>
        <v/>
      </c>
      <c r="D6" s="47">
        <f>IF($A6="","",SUMIFS('Dettes Clients'!$E$2:$E$201,'Dettes Clients'!$A$2:$A$201,$A6))</f>
        <v/>
      </c>
      <c r="E6" s="47">
        <f>IF($A6="","",$B6+$C6-$D6)</f>
        <v/>
      </c>
    </row>
    <row r="7">
      <c r="A7" s="45" t="n"/>
      <c r="B7" s="47">
        <f>IF($A7="","",SUMIFS('Dettes Clients'!$C$2:$C$201,'Dettes Clients'!$A$2:$A$201,$A7))</f>
        <v/>
      </c>
      <c r="C7" s="47">
        <f>IF($A7="","",SUMIFS('Dettes Clients'!$D$2:$D$201,'Dettes Clients'!$A$2:$A$201,$A7))</f>
        <v/>
      </c>
      <c r="D7" s="47">
        <f>IF($A7="","",SUMIFS('Dettes Clients'!$E$2:$E$201,'Dettes Clients'!$A$2:$A$201,$A7))</f>
        <v/>
      </c>
      <c r="E7" s="47">
        <f>IF($A7="","",$B7+$C7-$D7)</f>
        <v/>
      </c>
    </row>
    <row r="8">
      <c r="A8" s="45" t="n"/>
      <c r="B8" s="47">
        <f>IF($A8="","",SUMIFS('Dettes Clients'!$C$2:$C$201,'Dettes Clients'!$A$2:$A$201,$A8))</f>
        <v/>
      </c>
      <c r="C8" s="47">
        <f>IF($A8="","",SUMIFS('Dettes Clients'!$D$2:$D$201,'Dettes Clients'!$A$2:$A$201,$A8))</f>
        <v/>
      </c>
      <c r="D8" s="47">
        <f>IF($A8="","",SUMIFS('Dettes Clients'!$E$2:$E$201,'Dettes Clients'!$A$2:$A$201,$A8))</f>
        <v/>
      </c>
      <c r="E8" s="47">
        <f>IF($A8="","",$B8+$C8-$D8)</f>
        <v/>
      </c>
    </row>
    <row r="9">
      <c r="A9" s="45" t="n"/>
      <c r="B9" s="47">
        <f>IF($A9="","",SUMIFS('Dettes Clients'!$C$2:$C$201,'Dettes Clients'!$A$2:$A$201,$A9))</f>
        <v/>
      </c>
      <c r="C9" s="47">
        <f>IF($A9="","",SUMIFS('Dettes Clients'!$D$2:$D$201,'Dettes Clients'!$A$2:$A$201,$A9))</f>
        <v/>
      </c>
      <c r="D9" s="47">
        <f>IF($A9="","",SUMIFS('Dettes Clients'!$E$2:$E$201,'Dettes Clients'!$A$2:$A$201,$A9))</f>
        <v/>
      </c>
      <c r="E9" s="47">
        <f>IF($A9="","",$B9+$C9-$D9)</f>
        <v/>
      </c>
    </row>
    <row r="10">
      <c r="A10" s="45" t="n"/>
      <c r="B10" s="47">
        <f>IF($A10="","",SUMIFS('Dettes Clients'!$C$2:$C$201,'Dettes Clients'!$A$2:$A$201,$A10))</f>
        <v/>
      </c>
      <c r="C10" s="47">
        <f>IF($A10="","",SUMIFS('Dettes Clients'!$D$2:$D$201,'Dettes Clients'!$A$2:$A$201,$A10))</f>
        <v/>
      </c>
      <c r="D10" s="47">
        <f>IF($A10="","",SUMIFS('Dettes Clients'!$E$2:$E$201,'Dettes Clients'!$A$2:$A$201,$A10))</f>
        <v/>
      </c>
      <c r="E10" s="47">
        <f>IF($A10="","",$B10+$C10-$D10)</f>
        <v/>
      </c>
    </row>
    <row r="11">
      <c r="A11" s="45" t="n"/>
      <c r="B11" s="47">
        <f>IF($A11="","",SUMIFS('Dettes Clients'!$C$2:$C$201,'Dettes Clients'!$A$2:$A$201,$A11))</f>
        <v/>
      </c>
      <c r="C11" s="47">
        <f>IF($A11="","",SUMIFS('Dettes Clients'!$D$2:$D$201,'Dettes Clients'!$A$2:$A$201,$A11))</f>
        <v/>
      </c>
      <c r="D11" s="47">
        <f>IF($A11="","",SUMIFS('Dettes Clients'!$E$2:$E$201,'Dettes Clients'!$A$2:$A$201,$A11))</f>
        <v/>
      </c>
      <c r="E11" s="47">
        <f>IF($A11="","",$B11+$C11-$D11)</f>
        <v/>
      </c>
    </row>
    <row r="12">
      <c r="A12" s="45" t="n"/>
      <c r="B12" s="47">
        <f>IF($A12="","",SUMIFS('Dettes Clients'!$C$2:$C$201,'Dettes Clients'!$A$2:$A$201,$A12))</f>
        <v/>
      </c>
      <c r="C12" s="47">
        <f>IF($A12="","",SUMIFS('Dettes Clients'!$D$2:$D$201,'Dettes Clients'!$A$2:$A$201,$A12))</f>
        <v/>
      </c>
      <c r="D12" s="47">
        <f>IF($A12="","",SUMIFS('Dettes Clients'!$E$2:$E$201,'Dettes Clients'!$A$2:$A$201,$A12))</f>
        <v/>
      </c>
      <c r="E12" s="47">
        <f>IF($A12="","",$B12+$C12-$D12)</f>
        <v/>
      </c>
    </row>
    <row r="13">
      <c r="A13" s="45" t="n"/>
      <c r="B13" s="47">
        <f>IF($A13="","",SUMIFS('Dettes Clients'!$C$2:$C$201,'Dettes Clients'!$A$2:$A$201,$A13))</f>
        <v/>
      </c>
      <c r="C13" s="47">
        <f>IF($A13="","",SUMIFS('Dettes Clients'!$D$2:$D$201,'Dettes Clients'!$A$2:$A$201,$A13))</f>
        <v/>
      </c>
      <c r="D13" s="47">
        <f>IF($A13="","",SUMIFS('Dettes Clients'!$E$2:$E$201,'Dettes Clients'!$A$2:$A$201,$A13))</f>
        <v/>
      </c>
      <c r="E13" s="47">
        <f>IF($A13="","",$B13+$C13-$D13)</f>
        <v/>
      </c>
    </row>
    <row r="14">
      <c r="A14" s="45" t="n"/>
      <c r="B14" s="47">
        <f>IF($A14="","",SUMIFS('Dettes Clients'!$C$2:$C$201,'Dettes Clients'!$A$2:$A$201,$A14))</f>
        <v/>
      </c>
      <c r="C14" s="47">
        <f>IF($A14="","",SUMIFS('Dettes Clients'!$D$2:$D$201,'Dettes Clients'!$A$2:$A$201,$A14))</f>
        <v/>
      </c>
      <c r="D14" s="47">
        <f>IF($A14="","",SUMIFS('Dettes Clients'!$E$2:$E$201,'Dettes Clients'!$A$2:$A$201,$A14))</f>
        <v/>
      </c>
      <c r="E14" s="47">
        <f>IF($A14="","",$B14+$C14-$D14)</f>
        <v/>
      </c>
    </row>
    <row r="15">
      <c r="A15" s="45" t="n"/>
      <c r="B15" s="47">
        <f>IF($A15="","",SUMIFS('Dettes Clients'!$C$2:$C$201,'Dettes Clients'!$A$2:$A$201,$A15))</f>
        <v/>
      </c>
      <c r="C15" s="47">
        <f>IF($A15="","",SUMIFS('Dettes Clients'!$D$2:$D$201,'Dettes Clients'!$A$2:$A$201,$A15))</f>
        <v/>
      </c>
      <c r="D15" s="47">
        <f>IF($A15="","",SUMIFS('Dettes Clients'!$E$2:$E$201,'Dettes Clients'!$A$2:$A$201,$A15))</f>
        <v/>
      </c>
      <c r="E15" s="47">
        <f>IF($A15="","",$B15+$C15-$D15)</f>
        <v/>
      </c>
    </row>
    <row r="16">
      <c r="A16" s="45" t="n"/>
      <c r="B16" s="47">
        <f>IF($A16="","",SUMIFS('Dettes Clients'!$C$2:$C$201,'Dettes Clients'!$A$2:$A$201,$A16))</f>
        <v/>
      </c>
      <c r="C16" s="47">
        <f>IF($A16="","",SUMIFS('Dettes Clients'!$D$2:$D$201,'Dettes Clients'!$A$2:$A$201,$A16))</f>
        <v/>
      </c>
      <c r="D16" s="47">
        <f>IF($A16="","",SUMIFS('Dettes Clients'!$E$2:$E$201,'Dettes Clients'!$A$2:$A$201,$A16))</f>
        <v/>
      </c>
      <c r="E16" s="47">
        <f>IF($A16="","",$B16+$C16-$D16)</f>
        <v/>
      </c>
    </row>
    <row r="17">
      <c r="A17" s="45" t="n"/>
      <c r="B17" s="47">
        <f>IF($A17="","",SUMIFS('Dettes Clients'!$C$2:$C$201,'Dettes Clients'!$A$2:$A$201,$A17))</f>
        <v/>
      </c>
      <c r="C17" s="47">
        <f>IF($A17="","",SUMIFS('Dettes Clients'!$D$2:$D$201,'Dettes Clients'!$A$2:$A$201,$A17))</f>
        <v/>
      </c>
      <c r="D17" s="47">
        <f>IF($A17="","",SUMIFS('Dettes Clients'!$E$2:$E$201,'Dettes Clients'!$A$2:$A$201,$A17))</f>
        <v/>
      </c>
      <c r="E17" s="47">
        <f>IF($A17="","",$B17+$C17-$D17)</f>
        <v/>
      </c>
    </row>
    <row r="18">
      <c r="A18" s="45" t="n"/>
      <c r="B18" s="47">
        <f>IF($A18="","",SUMIFS('Dettes Clients'!$C$2:$C$201,'Dettes Clients'!$A$2:$A$201,$A18))</f>
        <v/>
      </c>
      <c r="C18" s="47">
        <f>IF($A18="","",SUMIFS('Dettes Clients'!$D$2:$D$201,'Dettes Clients'!$A$2:$A$201,$A18))</f>
        <v/>
      </c>
      <c r="D18" s="47">
        <f>IF($A18="","",SUMIFS('Dettes Clients'!$E$2:$E$201,'Dettes Clients'!$A$2:$A$201,$A18))</f>
        <v/>
      </c>
      <c r="E18" s="47">
        <f>IF($A18="","",$B18+$C18-$D18)</f>
        <v/>
      </c>
    </row>
    <row r="19">
      <c r="A19" s="45" t="n"/>
      <c r="B19" s="47">
        <f>IF($A19="","",SUMIFS('Dettes Clients'!$C$2:$C$201,'Dettes Clients'!$A$2:$A$201,$A19))</f>
        <v/>
      </c>
      <c r="C19" s="47">
        <f>IF($A19="","",SUMIFS('Dettes Clients'!$D$2:$D$201,'Dettes Clients'!$A$2:$A$201,$A19))</f>
        <v/>
      </c>
      <c r="D19" s="47">
        <f>IF($A19="","",SUMIFS('Dettes Clients'!$E$2:$E$201,'Dettes Clients'!$A$2:$A$201,$A19))</f>
        <v/>
      </c>
      <c r="E19" s="47">
        <f>IF($A19="","",$B19+$C19-$D19)</f>
        <v/>
      </c>
    </row>
    <row r="20">
      <c r="A20" s="45" t="n"/>
      <c r="B20" s="47">
        <f>IF($A20="","",SUMIFS('Dettes Clients'!$C$2:$C$201,'Dettes Clients'!$A$2:$A$201,$A20))</f>
        <v/>
      </c>
      <c r="C20" s="47">
        <f>IF($A20="","",SUMIFS('Dettes Clients'!$D$2:$D$201,'Dettes Clients'!$A$2:$A$201,$A20))</f>
        <v/>
      </c>
      <c r="D20" s="47">
        <f>IF($A20="","",SUMIFS('Dettes Clients'!$E$2:$E$201,'Dettes Clients'!$A$2:$A$201,$A20))</f>
        <v/>
      </c>
      <c r="E20" s="47">
        <f>IF($A20="","",$B20+$C20-$D20)</f>
        <v/>
      </c>
    </row>
    <row r="21">
      <c r="A21" s="45" t="n"/>
      <c r="B21" s="47">
        <f>IF($A21="","",SUMIFS('Dettes Clients'!$C$2:$C$201,'Dettes Clients'!$A$2:$A$201,$A21))</f>
        <v/>
      </c>
      <c r="C21" s="47">
        <f>IF($A21="","",SUMIFS('Dettes Clients'!$D$2:$D$201,'Dettes Clients'!$A$2:$A$201,$A21))</f>
        <v/>
      </c>
      <c r="D21" s="47">
        <f>IF($A21="","",SUMIFS('Dettes Clients'!$E$2:$E$201,'Dettes Clients'!$A$2:$A$201,$A21))</f>
        <v/>
      </c>
      <c r="E21" s="47">
        <f>IF($A21="","",$B21+$C21-$D21)</f>
        <v/>
      </c>
    </row>
    <row r="22">
      <c r="A22" s="45" t="n"/>
      <c r="B22" s="47">
        <f>IF($A22="","",SUMIFS('Dettes Clients'!$C$2:$C$201,'Dettes Clients'!$A$2:$A$201,$A22))</f>
        <v/>
      </c>
      <c r="C22" s="47">
        <f>IF($A22="","",SUMIFS('Dettes Clients'!$D$2:$D$201,'Dettes Clients'!$A$2:$A$201,$A22))</f>
        <v/>
      </c>
      <c r="D22" s="47">
        <f>IF($A22="","",SUMIFS('Dettes Clients'!$E$2:$E$201,'Dettes Clients'!$A$2:$A$201,$A22))</f>
        <v/>
      </c>
      <c r="E22" s="47">
        <f>IF($A22="","",$B22+$C22-$D22)</f>
        <v/>
      </c>
    </row>
    <row r="23">
      <c r="A23" s="45" t="n"/>
      <c r="B23" s="47">
        <f>IF($A23="","",SUMIFS('Dettes Clients'!$C$2:$C$201,'Dettes Clients'!$A$2:$A$201,$A23))</f>
        <v/>
      </c>
      <c r="C23" s="47">
        <f>IF($A23="","",SUMIFS('Dettes Clients'!$D$2:$D$201,'Dettes Clients'!$A$2:$A$201,$A23))</f>
        <v/>
      </c>
      <c r="D23" s="47">
        <f>IF($A23="","",SUMIFS('Dettes Clients'!$E$2:$E$201,'Dettes Clients'!$A$2:$A$201,$A23))</f>
        <v/>
      </c>
      <c r="E23" s="47">
        <f>IF($A23="","",$B23+$C23-$D23)</f>
        <v/>
      </c>
    </row>
    <row r="24">
      <c r="A24" s="45" t="n"/>
      <c r="B24" s="47">
        <f>IF($A24="","",SUMIFS('Dettes Clients'!$C$2:$C$201,'Dettes Clients'!$A$2:$A$201,$A24))</f>
        <v/>
      </c>
      <c r="C24" s="47">
        <f>IF($A24="","",SUMIFS('Dettes Clients'!$D$2:$D$201,'Dettes Clients'!$A$2:$A$201,$A24))</f>
        <v/>
      </c>
      <c r="D24" s="47">
        <f>IF($A24="","",SUMIFS('Dettes Clients'!$E$2:$E$201,'Dettes Clients'!$A$2:$A$201,$A24))</f>
        <v/>
      </c>
      <c r="E24" s="47">
        <f>IF($A24="","",$B24+$C24-$D24)</f>
        <v/>
      </c>
    </row>
    <row r="25">
      <c r="A25" s="45" t="n"/>
      <c r="B25" s="47">
        <f>IF($A25="","",SUMIFS('Dettes Clients'!$C$2:$C$201,'Dettes Clients'!$A$2:$A$201,$A25))</f>
        <v/>
      </c>
      <c r="C25" s="47">
        <f>IF($A25="","",SUMIFS('Dettes Clients'!$D$2:$D$201,'Dettes Clients'!$A$2:$A$201,$A25))</f>
        <v/>
      </c>
      <c r="D25" s="47">
        <f>IF($A25="","",SUMIFS('Dettes Clients'!$E$2:$E$201,'Dettes Clients'!$A$2:$A$201,$A25))</f>
        <v/>
      </c>
      <c r="E25" s="47">
        <f>IF($A25="","",$B25+$C25-$D25)</f>
        <v/>
      </c>
    </row>
    <row r="26">
      <c r="A26" s="45" t="n"/>
      <c r="B26" s="47">
        <f>IF($A26="","",SUMIFS('Dettes Clients'!$C$2:$C$201,'Dettes Clients'!$A$2:$A$201,$A26))</f>
        <v/>
      </c>
      <c r="C26" s="47">
        <f>IF($A26="","",SUMIFS('Dettes Clients'!$D$2:$D$201,'Dettes Clients'!$A$2:$A$201,$A26))</f>
        <v/>
      </c>
      <c r="D26" s="47">
        <f>IF($A26="","",SUMIFS('Dettes Clients'!$E$2:$E$201,'Dettes Clients'!$A$2:$A$201,$A26))</f>
        <v/>
      </c>
      <c r="E26" s="47">
        <f>IF($A26="","",$B26+$C26-$D26)</f>
        <v/>
      </c>
    </row>
    <row r="27">
      <c r="A27" s="45" t="n"/>
      <c r="B27" s="47">
        <f>IF($A27="","",SUMIFS('Dettes Clients'!$C$2:$C$201,'Dettes Clients'!$A$2:$A$201,$A27))</f>
        <v/>
      </c>
      <c r="C27" s="47">
        <f>IF($A27="","",SUMIFS('Dettes Clients'!$D$2:$D$201,'Dettes Clients'!$A$2:$A$201,$A27))</f>
        <v/>
      </c>
      <c r="D27" s="47">
        <f>IF($A27="","",SUMIFS('Dettes Clients'!$E$2:$E$201,'Dettes Clients'!$A$2:$A$201,$A27))</f>
        <v/>
      </c>
      <c r="E27" s="47">
        <f>IF($A27="","",$B27+$C27-$D27)</f>
        <v/>
      </c>
    </row>
    <row r="28">
      <c r="A28" s="45" t="n"/>
      <c r="B28" s="47">
        <f>IF($A28="","",SUMIFS('Dettes Clients'!$C$2:$C$201,'Dettes Clients'!$A$2:$A$201,$A28))</f>
        <v/>
      </c>
      <c r="C28" s="47">
        <f>IF($A28="","",SUMIFS('Dettes Clients'!$D$2:$D$201,'Dettes Clients'!$A$2:$A$201,$A28))</f>
        <v/>
      </c>
      <c r="D28" s="47">
        <f>IF($A28="","",SUMIFS('Dettes Clients'!$E$2:$E$201,'Dettes Clients'!$A$2:$A$201,$A28))</f>
        <v/>
      </c>
      <c r="E28" s="47">
        <f>IF($A28="","",$B28+$C28-$D28)</f>
        <v/>
      </c>
    </row>
    <row r="29">
      <c r="A29" s="45" t="n"/>
      <c r="B29" s="47">
        <f>IF($A29="","",SUMIFS('Dettes Clients'!$C$2:$C$201,'Dettes Clients'!$A$2:$A$201,$A29))</f>
        <v/>
      </c>
      <c r="C29" s="47">
        <f>IF($A29="","",SUMIFS('Dettes Clients'!$D$2:$D$201,'Dettes Clients'!$A$2:$A$201,$A29))</f>
        <v/>
      </c>
      <c r="D29" s="47">
        <f>IF($A29="","",SUMIFS('Dettes Clients'!$E$2:$E$201,'Dettes Clients'!$A$2:$A$201,$A29))</f>
        <v/>
      </c>
      <c r="E29" s="47">
        <f>IF($A29="","",$B29+$C29-$D29)</f>
        <v/>
      </c>
    </row>
    <row r="30">
      <c r="A30" s="45" t="n"/>
      <c r="B30" s="47">
        <f>IF($A30="","",SUMIFS('Dettes Clients'!$C$2:$C$201,'Dettes Clients'!$A$2:$A$201,$A30))</f>
        <v/>
      </c>
      <c r="C30" s="47">
        <f>IF($A30="","",SUMIFS('Dettes Clients'!$D$2:$D$201,'Dettes Clients'!$A$2:$A$201,$A30))</f>
        <v/>
      </c>
      <c r="D30" s="47">
        <f>IF($A30="","",SUMIFS('Dettes Clients'!$E$2:$E$201,'Dettes Clients'!$A$2:$A$201,$A30))</f>
        <v/>
      </c>
      <c r="E30" s="47">
        <f>IF($A30="","",$B30+$C30-$D30)</f>
        <v/>
      </c>
    </row>
    <row r="31">
      <c r="A31" s="45" t="n"/>
      <c r="B31" s="47">
        <f>IF($A31="","",SUMIFS('Dettes Clients'!$C$2:$C$201,'Dettes Clients'!$A$2:$A$201,$A31))</f>
        <v/>
      </c>
      <c r="C31" s="47">
        <f>IF($A31="","",SUMIFS('Dettes Clients'!$D$2:$D$201,'Dettes Clients'!$A$2:$A$201,$A31))</f>
        <v/>
      </c>
      <c r="D31" s="47">
        <f>IF($A31="","",SUMIFS('Dettes Clients'!$E$2:$E$201,'Dettes Clients'!$A$2:$A$201,$A31))</f>
        <v/>
      </c>
      <c r="E31" s="47">
        <f>IF($A31="","",$B31+$C31-$D31)</f>
        <v/>
      </c>
    </row>
    <row r="32">
      <c r="A32" s="45" t="n"/>
      <c r="B32" s="47">
        <f>IF($A32="","",SUMIFS('Dettes Clients'!$C$2:$C$201,'Dettes Clients'!$A$2:$A$201,$A32))</f>
        <v/>
      </c>
      <c r="C32" s="47">
        <f>IF($A32="","",SUMIFS('Dettes Clients'!$D$2:$D$201,'Dettes Clients'!$A$2:$A$201,$A32))</f>
        <v/>
      </c>
      <c r="D32" s="47">
        <f>IF($A32="","",SUMIFS('Dettes Clients'!$E$2:$E$201,'Dettes Clients'!$A$2:$A$201,$A32))</f>
        <v/>
      </c>
      <c r="E32" s="47">
        <f>IF($A32="","",$B32+$C32-$D32)</f>
        <v/>
      </c>
    </row>
    <row r="33">
      <c r="A33" s="45" t="n"/>
      <c r="B33" s="47">
        <f>IF($A33="","",SUMIFS('Dettes Clients'!$C$2:$C$201,'Dettes Clients'!$A$2:$A$201,$A33))</f>
        <v/>
      </c>
      <c r="C33" s="47">
        <f>IF($A33="","",SUMIFS('Dettes Clients'!$D$2:$D$201,'Dettes Clients'!$A$2:$A$201,$A33))</f>
        <v/>
      </c>
      <c r="D33" s="47">
        <f>IF($A33="","",SUMIFS('Dettes Clients'!$E$2:$E$201,'Dettes Clients'!$A$2:$A$201,$A33))</f>
        <v/>
      </c>
      <c r="E33" s="47">
        <f>IF($A33="","",$B33+$C33-$D33)</f>
        <v/>
      </c>
    </row>
    <row r="34">
      <c r="A34" s="45" t="n"/>
      <c r="B34" s="47">
        <f>IF($A34="","",SUMIFS('Dettes Clients'!$C$2:$C$201,'Dettes Clients'!$A$2:$A$201,$A34))</f>
        <v/>
      </c>
      <c r="C34" s="47">
        <f>IF($A34="","",SUMIFS('Dettes Clients'!$D$2:$D$201,'Dettes Clients'!$A$2:$A$201,$A34))</f>
        <v/>
      </c>
      <c r="D34" s="47">
        <f>IF($A34="","",SUMIFS('Dettes Clients'!$E$2:$E$201,'Dettes Clients'!$A$2:$A$201,$A34))</f>
        <v/>
      </c>
      <c r="E34" s="47">
        <f>IF($A34="","",$B34+$C34-$D34)</f>
        <v/>
      </c>
    </row>
    <row r="35">
      <c r="A35" s="45" t="n"/>
      <c r="B35" s="47">
        <f>IF($A35="","",SUMIFS('Dettes Clients'!$C$2:$C$201,'Dettes Clients'!$A$2:$A$201,$A35))</f>
        <v/>
      </c>
      <c r="C35" s="47">
        <f>IF($A35="","",SUMIFS('Dettes Clients'!$D$2:$D$201,'Dettes Clients'!$A$2:$A$201,$A35))</f>
        <v/>
      </c>
      <c r="D35" s="47">
        <f>IF($A35="","",SUMIFS('Dettes Clients'!$E$2:$E$201,'Dettes Clients'!$A$2:$A$201,$A35))</f>
        <v/>
      </c>
      <c r="E35" s="47">
        <f>IF($A35="","",$B35+$C35-$D35)</f>
        <v/>
      </c>
    </row>
    <row r="36">
      <c r="A36" s="45" t="n"/>
      <c r="B36" s="47">
        <f>IF($A36="","",SUMIFS('Dettes Clients'!$C$2:$C$201,'Dettes Clients'!$A$2:$A$201,$A36))</f>
        <v/>
      </c>
      <c r="C36" s="47">
        <f>IF($A36="","",SUMIFS('Dettes Clients'!$D$2:$D$201,'Dettes Clients'!$A$2:$A$201,$A36))</f>
        <v/>
      </c>
      <c r="D36" s="47">
        <f>IF($A36="","",SUMIFS('Dettes Clients'!$E$2:$E$201,'Dettes Clients'!$A$2:$A$201,$A36))</f>
        <v/>
      </c>
      <c r="E36" s="47">
        <f>IF($A36="","",$B36+$C36-$D36)</f>
        <v/>
      </c>
    </row>
    <row r="37">
      <c r="A37" s="45" t="n"/>
      <c r="B37" s="47">
        <f>IF($A37="","",SUMIFS('Dettes Clients'!$C$2:$C$201,'Dettes Clients'!$A$2:$A$201,$A37))</f>
        <v/>
      </c>
      <c r="C37" s="47">
        <f>IF($A37="","",SUMIFS('Dettes Clients'!$D$2:$D$201,'Dettes Clients'!$A$2:$A$201,$A37))</f>
        <v/>
      </c>
      <c r="D37" s="47">
        <f>IF($A37="","",SUMIFS('Dettes Clients'!$E$2:$E$201,'Dettes Clients'!$A$2:$A$201,$A37))</f>
        <v/>
      </c>
      <c r="E37" s="47">
        <f>IF($A37="","",$B37+$C37-$D37)</f>
        <v/>
      </c>
    </row>
    <row r="38">
      <c r="A38" s="45" t="n"/>
      <c r="B38" s="47">
        <f>IF($A38="","",SUMIFS('Dettes Clients'!$C$2:$C$201,'Dettes Clients'!$A$2:$A$201,$A38))</f>
        <v/>
      </c>
      <c r="C38" s="47">
        <f>IF($A38="","",SUMIFS('Dettes Clients'!$D$2:$D$201,'Dettes Clients'!$A$2:$A$201,$A38))</f>
        <v/>
      </c>
      <c r="D38" s="47">
        <f>IF($A38="","",SUMIFS('Dettes Clients'!$E$2:$E$201,'Dettes Clients'!$A$2:$A$201,$A38))</f>
        <v/>
      </c>
      <c r="E38" s="47">
        <f>IF($A38="","",$B38+$C38-$D38)</f>
        <v/>
      </c>
    </row>
    <row r="39">
      <c r="A39" s="45" t="n"/>
      <c r="B39" s="47">
        <f>IF($A39="","",SUMIFS('Dettes Clients'!$C$2:$C$201,'Dettes Clients'!$A$2:$A$201,$A39))</f>
        <v/>
      </c>
      <c r="C39" s="47">
        <f>IF($A39="","",SUMIFS('Dettes Clients'!$D$2:$D$201,'Dettes Clients'!$A$2:$A$201,$A39))</f>
        <v/>
      </c>
      <c r="D39" s="47">
        <f>IF($A39="","",SUMIFS('Dettes Clients'!$E$2:$E$201,'Dettes Clients'!$A$2:$A$201,$A39))</f>
        <v/>
      </c>
      <c r="E39" s="47">
        <f>IF($A39="","",$B39+$C39-$D39)</f>
        <v/>
      </c>
    </row>
    <row r="40">
      <c r="A40" s="45" t="n"/>
      <c r="B40" s="47">
        <f>IF($A40="","",SUMIFS('Dettes Clients'!$C$2:$C$201,'Dettes Clients'!$A$2:$A$201,$A40))</f>
        <v/>
      </c>
      <c r="C40" s="47">
        <f>IF($A40="","",SUMIFS('Dettes Clients'!$D$2:$D$201,'Dettes Clients'!$A$2:$A$201,$A40))</f>
        <v/>
      </c>
      <c r="D40" s="47">
        <f>IF($A40="","",SUMIFS('Dettes Clients'!$E$2:$E$201,'Dettes Clients'!$A$2:$A$201,$A40))</f>
        <v/>
      </c>
      <c r="E40" s="47">
        <f>IF($A40="","",$B40+$C40-$D40)</f>
        <v/>
      </c>
    </row>
    <row r="41">
      <c r="A41" s="45" t="n"/>
      <c r="B41" s="47">
        <f>IF($A41="","",SUMIFS('Dettes Clients'!$C$2:$C$201,'Dettes Clients'!$A$2:$A$201,$A41))</f>
        <v/>
      </c>
      <c r="C41" s="47">
        <f>IF($A41="","",SUMIFS('Dettes Clients'!$D$2:$D$201,'Dettes Clients'!$A$2:$A$201,$A41))</f>
        <v/>
      </c>
      <c r="D41" s="47">
        <f>IF($A41="","",SUMIFS('Dettes Clients'!$E$2:$E$201,'Dettes Clients'!$A$2:$A$201,$A41))</f>
        <v/>
      </c>
      <c r="E41" s="47">
        <f>IF($A41="","",$B41+$C41-$D41)</f>
        <v/>
      </c>
    </row>
    <row r="42">
      <c r="A42" s="45" t="n"/>
      <c r="B42" s="47">
        <f>IF($A42="","",SUMIFS('Dettes Clients'!$C$2:$C$201,'Dettes Clients'!$A$2:$A$201,$A42))</f>
        <v/>
      </c>
      <c r="C42" s="47">
        <f>IF($A42="","",SUMIFS('Dettes Clients'!$D$2:$D$201,'Dettes Clients'!$A$2:$A$201,$A42))</f>
        <v/>
      </c>
      <c r="D42" s="47">
        <f>IF($A42="","",SUMIFS('Dettes Clients'!$E$2:$E$201,'Dettes Clients'!$A$2:$A$201,$A42))</f>
        <v/>
      </c>
      <c r="E42" s="47">
        <f>IF($A42="","",$B42+$C42-$D42)</f>
        <v/>
      </c>
    </row>
    <row r="43">
      <c r="A43" s="45" t="n"/>
      <c r="B43" s="47">
        <f>IF($A43="","",SUMIFS('Dettes Clients'!$C$2:$C$201,'Dettes Clients'!$A$2:$A$201,$A43))</f>
        <v/>
      </c>
      <c r="C43" s="47">
        <f>IF($A43="","",SUMIFS('Dettes Clients'!$D$2:$D$201,'Dettes Clients'!$A$2:$A$201,$A43))</f>
        <v/>
      </c>
      <c r="D43" s="47">
        <f>IF($A43="","",SUMIFS('Dettes Clients'!$E$2:$E$201,'Dettes Clients'!$A$2:$A$201,$A43))</f>
        <v/>
      </c>
      <c r="E43" s="47">
        <f>IF($A43="","",$B43+$C43-$D43)</f>
        <v/>
      </c>
    </row>
    <row r="44">
      <c r="A44" s="45" t="n"/>
      <c r="B44" s="47">
        <f>IF($A44="","",SUMIFS('Dettes Clients'!$C$2:$C$201,'Dettes Clients'!$A$2:$A$201,$A44))</f>
        <v/>
      </c>
      <c r="C44" s="47">
        <f>IF($A44="","",SUMIFS('Dettes Clients'!$D$2:$D$201,'Dettes Clients'!$A$2:$A$201,$A44))</f>
        <v/>
      </c>
      <c r="D44" s="47">
        <f>IF($A44="","",SUMIFS('Dettes Clients'!$E$2:$E$201,'Dettes Clients'!$A$2:$A$201,$A44))</f>
        <v/>
      </c>
      <c r="E44" s="47">
        <f>IF($A44="","",$B44+$C44-$D44)</f>
        <v/>
      </c>
    </row>
    <row r="45">
      <c r="A45" s="45" t="n"/>
      <c r="B45" s="47">
        <f>IF($A45="","",SUMIFS('Dettes Clients'!$C$2:$C$201,'Dettes Clients'!$A$2:$A$201,$A45))</f>
        <v/>
      </c>
      <c r="C45" s="47">
        <f>IF($A45="","",SUMIFS('Dettes Clients'!$D$2:$D$201,'Dettes Clients'!$A$2:$A$201,$A45))</f>
        <v/>
      </c>
      <c r="D45" s="47">
        <f>IF($A45="","",SUMIFS('Dettes Clients'!$E$2:$E$201,'Dettes Clients'!$A$2:$A$201,$A45))</f>
        <v/>
      </c>
      <c r="E45" s="47">
        <f>IF($A45="","",$B45+$C45-$D45)</f>
        <v/>
      </c>
    </row>
    <row r="46">
      <c r="A46" s="45" t="n"/>
      <c r="B46" s="47">
        <f>IF($A46="","",SUMIFS('Dettes Clients'!$C$2:$C$201,'Dettes Clients'!$A$2:$A$201,$A46))</f>
        <v/>
      </c>
      <c r="C46" s="47">
        <f>IF($A46="","",SUMIFS('Dettes Clients'!$D$2:$D$201,'Dettes Clients'!$A$2:$A$201,$A46))</f>
        <v/>
      </c>
      <c r="D46" s="47">
        <f>IF($A46="","",SUMIFS('Dettes Clients'!$E$2:$E$201,'Dettes Clients'!$A$2:$A$201,$A46))</f>
        <v/>
      </c>
      <c r="E46" s="47">
        <f>IF($A46="","",$B46+$C46-$D46)</f>
        <v/>
      </c>
    </row>
    <row r="47">
      <c r="A47" s="45" t="n"/>
      <c r="B47" s="47">
        <f>IF($A47="","",SUMIFS('Dettes Clients'!$C$2:$C$201,'Dettes Clients'!$A$2:$A$201,$A47))</f>
        <v/>
      </c>
      <c r="C47" s="47">
        <f>IF($A47="","",SUMIFS('Dettes Clients'!$D$2:$D$201,'Dettes Clients'!$A$2:$A$201,$A47))</f>
        <v/>
      </c>
      <c r="D47" s="47">
        <f>IF($A47="","",SUMIFS('Dettes Clients'!$E$2:$E$201,'Dettes Clients'!$A$2:$A$201,$A47))</f>
        <v/>
      </c>
      <c r="E47" s="47">
        <f>IF($A47="","",$B47+$C47-$D47)</f>
        <v/>
      </c>
    </row>
    <row r="48">
      <c r="A48" s="45" t="n"/>
      <c r="B48" s="47">
        <f>IF($A48="","",SUMIFS('Dettes Clients'!$C$2:$C$201,'Dettes Clients'!$A$2:$A$201,$A48))</f>
        <v/>
      </c>
      <c r="C48" s="47">
        <f>IF($A48="","",SUMIFS('Dettes Clients'!$D$2:$D$201,'Dettes Clients'!$A$2:$A$201,$A48))</f>
        <v/>
      </c>
      <c r="D48" s="47">
        <f>IF($A48="","",SUMIFS('Dettes Clients'!$E$2:$E$201,'Dettes Clients'!$A$2:$A$201,$A48))</f>
        <v/>
      </c>
      <c r="E48" s="47">
        <f>IF($A48="","",$B48+$C48-$D48)</f>
        <v/>
      </c>
    </row>
    <row r="49">
      <c r="A49" s="45" t="n"/>
      <c r="B49" s="47">
        <f>IF($A49="","",SUMIFS('Dettes Clients'!$C$2:$C$201,'Dettes Clients'!$A$2:$A$201,$A49))</f>
        <v/>
      </c>
      <c r="C49" s="47">
        <f>IF($A49="","",SUMIFS('Dettes Clients'!$D$2:$D$201,'Dettes Clients'!$A$2:$A$201,$A49))</f>
        <v/>
      </c>
      <c r="D49" s="47">
        <f>IF($A49="","",SUMIFS('Dettes Clients'!$E$2:$E$201,'Dettes Clients'!$A$2:$A$201,$A49))</f>
        <v/>
      </c>
      <c r="E49" s="47">
        <f>IF($A49="","",$B49+$C49-$D49)</f>
        <v/>
      </c>
    </row>
    <row r="50">
      <c r="A50" s="45" t="n"/>
      <c r="B50" s="47">
        <f>IF($A50="","",SUMIFS('Dettes Clients'!$C$2:$C$201,'Dettes Clients'!$A$2:$A$201,$A50))</f>
        <v/>
      </c>
      <c r="C50" s="47">
        <f>IF($A50="","",SUMIFS('Dettes Clients'!$D$2:$D$201,'Dettes Clients'!$A$2:$A$201,$A50))</f>
        <v/>
      </c>
      <c r="D50" s="47">
        <f>IF($A50="","",SUMIFS('Dettes Clients'!$E$2:$E$201,'Dettes Clients'!$A$2:$A$201,$A50))</f>
        <v/>
      </c>
      <c r="E50" s="47">
        <f>IF($A50="","",$B50+$C50-$D50)</f>
        <v/>
      </c>
    </row>
    <row r="51">
      <c r="A51" s="45" t="n"/>
      <c r="B51" s="47">
        <f>IF($A51="","",SUMIFS('Dettes Clients'!$C$2:$C$201,'Dettes Clients'!$A$2:$A$201,$A51))</f>
        <v/>
      </c>
      <c r="C51" s="47">
        <f>IF($A51="","",SUMIFS('Dettes Clients'!$D$2:$D$201,'Dettes Clients'!$A$2:$A$201,$A51))</f>
        <v/>
      </c>
      <c r="D51" s="47">
        <f>IF($A51="","",SUMIFS('Dettes Clients'!$E$2:$E$201,'Dettes Clients'!$A$2:$A$201,$A51))</f>
        <v/>
      </c>
      <c r="E51" s="47">
        <f>IF($A51="","",$B51+$C51-$D51)</f>
        <v/>
      </c>
    </row>
    <row r="52">
      <c r="A52" s="45" t="n"/>
      <c r="B52" s="47">
        <f>IF($A52="","",SUMIFS('Dettes Clients'!$C$2:$C$201,'Dettes Clients'!$A$2:$A$201,$A52))</f>
        <v/>
      </c>
      <c r="C52" s="47">
        <f>IF($A52="","",SUMIFS('Dettes Clients'!$D$2:$D$201,'Dettes Clients'!$A$2:$A$201,$A52))</f>
        <v/>
      </c>
      <c r="D52" s="47">
        <f>IF($A52="","",SUMIFS('Dettes Clients'!$E$2:$E$201,'Dettes Clients'!$A$2:$A$201,$A52))</f>
        <v/>
      </c>
      <c r="E52" s="47">
        <f>IF($A52="","",$B52+$C52-$D52)</f>
        <v/>
      </c>
    </row>
    <row r="53">
      <c r="A53" s="45" t="n"/>
      <c r="B53" s="47">
        <f>IF($A53="","",SUMIFS('Dettes Clients'!$C$2:$C$201,'Dettes Clients'!$A$2:$A$201,$A53))</f>
        <v/>
      </c>
      <c r="C53" s="47">
        <f>IF($A53="","",SUMIFS('Dettes Clients'!$D$2:$D$201,'Dettes Clients'!$A$2:$A$201,$A53))</f>
        <v/>
      </c>
      <c r="D53" s="47">
        <f>IF($A53="","",SUMIFS('Dettes Clients'!$E$2:$E$201,'Dettes Clients'!$A$2:$A$201,$A53))</f>
        <v/>
      </c>
      <c r="E53" s="47">
        <f>IF($A53="","",$B53+$C53-$D53)</f>
        <v/>
      </c>
    </row>
    <row r="54">
      <c r="A54" s="45" t="n"/>
      <c r="B54" s="47">
        <f>IF($A54="","",SUMIFS('Dettes Clients'!$C$2:$C$201,'Dettes Clients'!$A$2:$A$201,$A54))</f>
        <v/>
      </c>
      <c r="C54" s="47">
        <f>IF($A54="","",SUMIFS('Dettes Clients'!$D$2:$D$201,'Dettes Clients'!$A$2:$A$201,$A54))</f>
        <v/>
      </c>
      <c r="D54" s="47">
        <f>IF($A54="","",SUMIFS('Dettes Clients'!$E$2:$E$201,'Dettes Clients'!$A$2:$A$201,$A54))</f>
        <v/>
      </c>
      <c r="E54" s="47">
        <f>IF($A54="","",$B54+$C54-$D54)</f>
        <v/>
      </c>
    </row>
    <row r="55">
      <c r="A55" s="45" t="n"/>
      <c r="B55" s="47">
        <f>IF($A55="","",SUMIFS('Dettes Clients'!$C$2:$C$201,'Dettes Clients'!$A$2:$A$201,$A55))</f>
        <v/>
      </c>
      <c r="C55" s="47">
        <f>IF($A55="","",SUMIFS('Dettes Clients'!$D$2:$D$201,'Dettes Clients'!$A$2:$A$201,$A55))</f>
        <v/>
      </c>
      <c r="D55" s="47">
        <f>IF($A55="","",SUMIFS('Dettes Clients'!$E$2:$E$201,'Dettes Clients'!$A$2:$A$201,$A55))</f>
        <v/>
      </c>
      <c r="E55" s="47">
        <f>IF($A55="","",$B55+$C55-$D55)</f>
        <v/>
      </c>
    </row>
    <row r="56">
      <c r="A56" s="45" t="n"/>
      <c r="B56" s="47">
        <f>IF($A56="","",SUMIFS('Dettes Clients'!$C$2:$C$201,'Dettes Clients'!$A$2:$A$201,$A56))</f>
        <v/>
      </c>
      <c r="C56" s="47">
        <f>IF($A56="","",SUMIFS('Dettes Clients'!$D$2:$D$201,'Dettes Clients'!$A$2:$A$201,$A56))</f>
        <v/>
      </c>
      <c r="D56" s="47">
        <f>IF($A56="","",SUMIFS('Dettes Clients'!$E$2:$E$201,'Dettes Clients'!$A$2:$A$201,$A56))</f>
        <v/>
      </c>
      <c r="E56" s="47">
        <f>IF($A56="","",$B56+$C56-$D56)</f>
        <v/>
      </c>
    </row>
    <row r="57">
      <c r="A57" s="45" t="n"/>
      <c r="B57" s="47">
        <f>IF($A57="","",SUMIFS('Dettes Clients'!$C$2:$C$201,'Dettes Clients'!$A$2:$A$201,$A57))</f>
        <v/>
      </c>
      <c r="C57" s="47">
        <f>IF($A57="","",SUMIFS('Dettes Clients'!$D$2:$D$201,'Dettes Clients'!$A$2:$A$201,$A57))</f>
        <v/>
      </c>
      <c r="D57" s="47">
        <f>IF($A57="","",SUMIFS('Dettes Clients'!$E$2:$E$201,'Dettes Clients'!$A$2:$A$201,$A57))</f>
        <v/>
      </c>
      <c r="E57" s="47">
        <f>IF($A57="","",$B57+$C57-$D57)</f>
        <v/>
      </c>
    </row>
    <row r="58">
      <c r="A58" s="45" t="n"/>
      <c r="B58" s="47">
        <f>IF($A58="","",SUMIFS('Dettes Clients'!$C$2:$C$201,'Dettes Clients'!$A$2:$A$201,$A58))</f>
        <v/>
      </c>
      <c r="C58" s="47">
        <f>IF($A58="","",SUMIFS('Dettes Clients'!$D$2:$D$201,'Dettes Clients'!$A$2:$A$201,$A58))</f>
        <v/>
      </c>
      <c r="D58" s="47">
        <f>IF($A58="","",SUMIFS('Dettes Clients'!$E$2:$E$201,'Dettes Clients'!$A$2:$A$201,$A58))</f>
        <v/>
      </c>
      <c r="E58" s="47">
        <f>IF($A58="","",$B58+$C58-$D58)</f>
        <v/>
      </c>
    </row>
    <row r="59">
      <c r="A59" s="45" t="n"/>
      <c r="B59" s="47">
        <f>IF($A59="","",SUMIFS('Dettes Clients'!$C$2:$C$201,'Dettes Clients'!$A$2:$A$201,$A59))</f>
        <v/>
      </c>
      <c r="C59" s="47">
        <f>IF($A59="","",SUMIFS('Dettes Clients'!$D$2:$D$201,'Dettes Clients'!$A$2:$A$201,$A59))</f>
        <v/>
      </c>
      <c r="D59" s="47">
        <f>IF($A59="","",SUMIFS('Dettes Clients'!$E$2:$E$201,'Dettes Clients'!$A$2:$A$201,$A59))</f>
        <v/>
      </c>
      <c r="E59" s="47">
        <f>IF($A59="","",$B59+$C59-$D59)</f>
        <v/>
      </c>
    </row>
    <row r="60">
      <c r="A60" s="45" t="n"/>
      <c r="B60" s="47">
        <f>IF($A60="","",SUMIFS('Dettes Clients'!$C$2:$C$201,'Dettes Clients'!$A$2:$A$201,$A60))</f>
        <v/>
      </c>
      <c r="C60" s="47">
        <f>IF($A60="","",SUMIFS('Dettes Clients'!$D$2:$D$201,'Dettes Clients'!$A$2:$A$201,$A60))</f>
        <v/>
      </c>
      <c r="D60" s="47">
        <f>IF($A60="","",SUMIFS('Dettes Clients'!$E$2:$E$201,'Dettes Clients'!$A$2:$A$201,$A60))</f>
        <v/>
      </c>
      <c r="E60" s="47">
        <f>IF($A60="","",$B60+$C60-$D60)</f>
        <v/>
      </c>
    </row>
    <row r="61">
      <c r="A61" s="45" t="n"/>
      <c r="B61" s="47">
        <f>IF($A61="","",SUMIFS('Dettes Clients'!$C$2:$C$201,'Dettes Clients'!$A$2:$A$201,$A61))</f>
        <v/>
      </c>
      <c r="C61" s="47">
        <f>IF($A61="","",SUMIFS('Dettes Clients'!$D$2:$D$201,'Dettes Clients'!$A$2:$A$201,$A61))</f>
        <v/>
      </c>
      <c r="D61" s="47">
        <f>IF($A61="","",SUMIFS('Dettes Clients'!$E$2:$E$201,'Dettes Clients'!$A$2:$A$201,$A61))</f>
        <v/>
      </c>
      <c r="E61" s="47">
        <f>IF($A61="","",$B61+$C61-$D61)</f>
        <v/>
      </c>
    </row>
    <row r="62">
      <c r="A62" s="45" t="n"/>
      <c r="B62" s="47">
        <f>IF($A62="","",SUMIFS('Dettes Clients'!$C$2:$C$201,'Dettes Clients'!$A$2:$A$201,$A62))</f>
        <v/>
      </c>
      <c r="C62" s="47">
        <f>IF($A62="","",SUMIFS('Dettes Clients'!$D$2:$D$201,'Dettes Clients'!$A$2:$A$201,$A62))</f>
        <v/>
      </c>
      <c r="D62" s="47">
        <f>IF($A62="","",SUMIFS('Dettes Clients'!$E$2:$E$201,'Dettes Clients'!$A$2:$A$201,$A62))</f>
        <v/>
      </c>
      <c r="E62" s="47">
        <f>IF($A62="","",$B62+$C62-$D62)</f>
        <v/>
      </c>
    </row>
    <row r="63">
      <c r="A63" s="45" t="n"/>
      <c r="B63" s="47">
        <f>IF($A63="","",SUMIFS('Dettes Clients'!$C$2:$C$201,'Dettes Clients'!$A$2:$A$201,$A63))</f>
        <v/>
      </c>
      <c r="C63" s="47">
        <f>IF($A63="","",SUMIFS('Dettes Clients'!$D$2:$D$201,'Dettes Clients'!$A$2:$A$201,$A63))</f>
        <v/>
      </c>
      <c r="D63" s="47">
        <f>IF($A63="","",SUMIFS('Dettes Clients'!$E$2:$E$201,'Dettes Clients'!$A$2:$A$201,$A63))</f>
        <v/>
      </c>
      <c r="E63" s="47">
        <f>IF($A63="","",$B63+$C63-$D63)</f>
        <v/>
      </c>
    </row>
    <row r="64">
      <c r="A64" s="45" t="n"/>
      <c r="B64" s="47">
        <f>IF($A64="","",SUMIFS('Dettes Clients'!$C$2:$C$201,'Dettes Clients'!$A$2:$A$201,$A64))</f>
        <v/>
      </c>
      <c r="C64" s="47">
        <f>IF($A64="","",SUMIFS('Dettes Clients'!$D$2:$D$201,'Dettes Clients'!$A$2:$A$201,$A64))</f>
        <v/>
      </c>
      <c r="D64" s="47">
        <f>IF($A64="","",SUMIFS('Dettes Clients'!$E$2:$E$201,'Dettes Clients'!$A$2:$A$201,$A64))</f>
        <v/>
      </c>
      <c r="E64" s="47">
        <f>IF($A64="","",$B64+$C64-$D64)</f>
        <v/>
      </c>
    </row>
    <row r="65">
      <c r="A65" s="45" t="n"/>
      <c r="B65" s="47">
        <f>IF($A65="","",SUMIFS('Dettes Clients'!$C$2:$C$201,'Dettes Clients'!$A$2:$A$201,$A65))</f>
        <v/>
      </c>
      <c r="C65" s="47">
        <f>IF($A65="","",SUMIFS('Dettes Clients'!$D$2:$D$201,'Dettes Clients'!$A$2:$A$201,$A65))</f>
        <v/>
      </c>
      <c r="D65" s="47">
        <f>IF($A65="","",SUMIFS('Dettes Clients'!$E$2:$E$201,'Dettes Clients'!$A$2:$A$201,$A65))</f>
        <v/>
      </c>
      <c r="E65" s="47">
        <f>IF($A65="","",$B65+$C65-$D65)</f>
        <v/>
      </c>
    </row>
    <row r="66">
      <c r="A66" s="45" t="n"/>
      <c r="B66" s="47">
        <f>IF($A66="","",SUMIFS('Dettes Clients'!$C$2:$C$201,'Dettes Clients'!$A$2:$A$201,$A66))</f>
        <v/>
      </c>
      <c r="C66" s="47">
        <f>IF($A66="","",SUMIFS('Dettes Clients'!$D$2:$D$201,'Dettes Clients'!$A$2:$A$201,$A66))</f>
        <v/>
      </c>
      <c r="D66" s="47">
        <f>IF($A66="","",SUMIFS('Dettes Clients'!$E$2:$E$201,'Dettes Clients'!$A$2:$A$201,$A66))</f>
        <v/>
      </c>
      <c r="E66" s="47">
        <f>IF($A66="","",$B66+$C66-$D66)</f>
        <v/>
      </c>
    </row>
    <row r="67">
      <c r="A67" s="45" t="n"/>
      <c r="B67" s="47">
        <f>IF($A67="","",SUMIFS('Dettes Clients'!$C$2:$C$201,'Dettes Clients'!$A$2:$A$201,$A67))</f>
        <v/>
      </c>
      <c r="C67" s="47">
        <f>IF($A67="","",SUMIFS('Dettes Clients'!$D$2:$D$201,'Dettes Clients'!$A$2:$A$201,$A67))</f>
        <v/>
      </c>
      <c r="D67" s="47">
        <f>IF($A67="","",SUMIFS('Dettes Clients'!$E$2:$E$201,'Dettes Clients'!$A$2:$A$201,$A67))</f>
        <v/>
      </c>
      <c r="E67" s="47">
        <f>IF($A67="","",$B67+$C67-$D67)</f>
        <v/>
      </c>
    </row>
    <row r="68">
      <c r="A68" s="45" t="n"/>
      <c r="B68" s="47">
        <f>IF($A68="","",SUMIFS('Dettes Clients'!$C$2:$C$201,'Dettes Clients'!$A$2:$A$201,$A68))</f>
        <v/>
      </c>
      <c r="C68" s="47">
        <f>IF($A68="","",SUMIFS('Dettes Clients'!$D$2:$D$201,'Dettes Clients'!$A$2:$A$201,$A68))</f>
        <v/>
      </c>
      <c r="D68" s="47">
        <f>IF($A68="","",SUMIFS('Dettes Clients'!$E$2:$E$201,'Dettes Clients'!$A$2:$A$201,$A68))</f>
        <v/>
      </c>
      <c r="E68" s="47">
        <f>IF($A68="","",$B68+$C68-$D68)</f>
        <v/>
      </c>
    </row>
    <row r="69">
      <c r="A69" s="45" t="n"/>
      <c r="B69" s="47">
        <f>IF($A69="","",SUMIFS('Dettes Clients'!$C$2:$C$201,'Dettes Clients'!$A$2:$A$201,$A69))</f>
        <v/>
      </c>
      <c r="C69" s="47">
        <f>IF($A69="","",SUMIFS('Dettes Clients'!$D$2:$D$201,'Dettes Clients'!$A$2:$A$201,$A69))</f>
        <v/>
      </c>
      <c r="D69" s="47">
        <f>IF($A69="","",SUMIFS('Dettes Clients'!$E$2:$E$201,'Dettes Clients'!$A$2:$A$201,$A69))</f>
        <v/>
      </c>
      <c r="E69" s="47">
        <f>IF($A69="","",$B69+$C69-$D69)</f>
        <v/>
      </c>
    </row>
    <row r="70">
      <c r="A70" s="45" t="n"/>
      <c r="B70" s="47">
        <f>IF($A70="","",SUMIFS('Dettes Clients'!$C$2:$C$201,'Dettes Clients'!$A$2:$A$201,$A70))</f>
        <v/>
      </c>
      <c r="C70" s="47">
        <f>IF($A70="","",SUMIFS('Dettes Clients'!$D$2:$D$201,'Dettes Clients'!$A$2:$A$201,$A70))</f>
        <v/>
      </c>
      <c r="D70" s="47">
        <f>IF($A70="","",SUMIFS('Dettes Clients'!$E$2:$E$201,'Dettes Clients'!$A$2:$A$201,$A70))</f>
        <v/>
      </c>
      <c r="E70" s="47">
        <f>IF($A70="","",$B70+$C70-$D70)</f>
        <v/>
      </c>
    </row>
    <row r="71">
      <c r="A71" s="45" t="n"/>
      <c r="B71" s="47">
        <f>IF($A71="","",SUMIFS('Dettes Clients'!$C$2:$C$201,'Dettes Clients'!$A$2:$A$201,$A71))</f>
        <v/>
      </c>
      <c r="C71" s="47">
        <f>IF($A71="","",SUMIFS('Dettes Clients'!$D$2:$D$201,'Dettes Clients'!$A$2:$A$201,$A71))</f>
        <v/>
      </c>
      <c r="D71" s="47">
        <f>IF($A71="","",SUMIFS('Dettes Clients'!$E$2:$E$201,'Dettes Clients'!$A$2:$A$201,$A71))</f>
        <v/>
      </c>
      <c r="E71" s="47">
        <f>IF($A71="","",$B71+$C71-$D71)</f>
        <v/>
      </c>
    </row>
    <row r="72">
      <c r="A72" s="45" t="n"/>
      <c r="B72" s="47">
        <f>IF($A72="","",SUMIFS('Dettes Clients'!$C$2:$C$201,'Dettes Clients'!$A$2:$A$201,$A72))</f>
        <v/>
      </c>
      <c r="C72" s="47">
        <f>IF($A72="","",SUMIFS('Dettes Clients'!$D$2:$D$201,'Dettes Clients'!$A$2:$A$201,$A72))</f>
        <v/>
      </c>
      <c r="D72" s="47">
        <f>IF($A72="","",SUMIFS('Dettes Clients'!$E$2:$E$201,'Dettes Clients'!$A$2:$A$201,$A72))</f>
        <v/>
      </c>
      <c r="E72" s="47">
        <f>IF($A72="","",$B72+$C72-$D72)</f>
        <v/>
      </c>
    </row>
    <row r="73">
      <c r="A73" s="45" t="n"/>
      <c r="B73" s="47">
        <f>IF($A73="","",SUMIFS('Dettes Clients'!$C$2:$C$201,'Dettes Clients'!$A$2:$A$201,$A73))</f>
        <v/>
      </c>
      <c r="C73" s="47">
        <f>IF($A73="","",SUMIFS('Dettes Clients'!$D$2:$D$201,'Dettes Clients'!$A$2:$A$201,$A73))</f>
        <v/>
      </c>
      <c r="D73" s="47">
        <f>IF($A73="","",SUMIFS('Dettes Clients'!$E$2:$E$201,'Dettes Clients'!$A$2:$A$201,$A73))</f>
        <v/>
      </c>
      <c r="E73" s="47">
        <f>IF($A73="","",$B73+$C73-$D73)</f>
        <v/>
      </c>
    </row>
    <row r="74">
      <c r="A74" s="45" t="n"/>
      <c r="B74" s="47">
        <f>IF($A74="","",SUMIFS('Dettes Clients'!$C$2:$C$201,'Dettes Clients'!$A$2:$A$201,$A74))</f>
        <v/>
      </c>
      <c r="C74" s="47">
        <f>IF($A74="","",SUMIFS('Dettes Clients'!$D$2:$D$201,'Dettes Clients'!$A$2:$A$201,$A74))</f>
        <v/>
      </c>
      <c r="D74" s="47">
        <f>IF($A74="","",SUMIFS('Dettes Clients'!$E$2:$E$201,'Dettes Clients'!$A$2:$A$201,$A74))</f>
        <v/>
      </c>
      <c r="E74" s="47">
        <f>IF($A74="","",$B74+$C74-$D74)</f>
        <v/>
      </c>
    </row>
    <row r="75">
      <c r="A75" s="45" t="n"/>
      <c r="B75" s="47">
        <f>IF($A75="","",SUMIFS('Dettes Clients'!$C$2:$C$201,'Dettes Clients'!$A$2:$A$201,$A75))</f>
        <v/>
      </c>
      <c r="C75" s="47">
        <f>IF($A75="","",SUMIFS('Dettes Clients'!$D$2:$D$201,'Dettes Clients'!$A$2:$A$201,$A75))</f>
        <v/>
      </c>
      <c r="D75" s="47">
        <f>IF($A75="","",SUMIFS('Dettes Clients'!$E$2:$E$201,'Dettes Clients'!$A$2:$A$201,$A75))</f>
        <v/>
      </c>
      <c r="E75" s="47">
        <f>IF($A75="","",$B75+$C75-$D75)</f>
        <v/>
      </c>
    </row>
    <row r="76">
      <c r="A76" s="45" t="n"/>
      <c r="B76" s="47">
        <f>IF($A76="","",SUMIFS('Dettes Clients'!$C$2:$C$201,'Dettes Clients'!$A$2:$A$201,$A76))</f>
        <v/>
      </c>
      <c r="C76" s="47">
        <f>IF($A76="","",SUMIFS('Dettes Clients'!$D$2:$D$201,'Dettes Clients'!$A$2:$A$201,$A76))</f>
        <v/>
      </c>
      <c r="D76" s="47">
        <f>IF($A76="","",SUMIFS('Dettes Clients'!$E$2:$E$201,'Dettes Clients'!$A$2:$A$201,$A76))</f>
        <v/>
      </c>
      <c r="E76" s="47">
        <f>IF($A76="","",$B76+$C76-$D76)</f>
        <v/>
      </c>
    </row>
    <row r="77">
      <c r="A77" s="45" t="n"/>
      <c r="B77" s="47">
        <f>IF($A77="","",SUMIFS('Dettes Clients'!$C$2:$C$201,'Dettes Clients'!$A$2:$A$201,$A77))</f>
        <v/>
      </c>
      <c r="C77" s="47">
        <f>IF($A77="","",SUMIFS('Dettes Clients'!$D$2:$D$201,'Dettes Clients'!$A$2:$A$201,$A77))</f>
        <v/>
      </c>
      <c r="D77" s="47">
        <f>IF($A77="","",SUMIFS('Dettes Clients'!$E$2:$E$201,'Dettes Clients'!$A$2:$A$201,$A77))</f>
        <v/>
      </c>
      <c r="E77" s="47">
        <f>IF($A77="","",$B77+$C77-$D77)</f>
        <v/>
      </c>
    </row>
    <row r="78">
      <c r="A78" s="45" t="n"/>
      <c r="B78" s="47">
        <f>IF($A78="","",SUMIFS('Dettes Clients'!$C$2:$C$201,'Dettes Clients'!$A$2:$A$201,$A78))</f>
        <v/>
      </c>
      <c r="C78" s="47">
        <f>IF($A78="","",SUMIFS('Dettes Clients'!$D$2:$D$201,'Dettes Clients'!$A$2:$A$201,$A78))</f>
        <v/>
      </c>
      <c r="D78" s="47">
        <f>IF($A78="","",SUMIFS('Dettes Clients'!$E$2:$E$201,'Dettes Clients'!$A$2:$A$201,$A78))</f>
        <v/>
      </c>
      <c r="E78" s="47">
        <f>IF($A78="","",$B78+$C78-$D78)</f>
        <v/>
      </c>
    </row>
    <row r="79">
      <c r="A79" s="45" t="n"/>
      <c r="B79" s="47">
        <f>IF($A79="","",SUMIFS('Dettes Clients'!$C$2:$C$201,'Dettes Clients'!$A$2:$A$201,$A79))</f>
        <v/>
      </c>
      <c r="C79" s="47">
        <f>IF($A79="","",SUMIFS('Dettes Clients'!$D$2:$D$201,'Dettes Clients'!$A$2:$A$201,$A79))</f>
        <v/>
      </c>
      <c r="D79" s="47">
        <f>IF($A79="","",SUMIFS('Dettes Clients'!$E$2:$E$201,'Dettes Clients'!$A$2:$A$201,$A79))</f>
        <v/>
      </c>
      <c r="E79" s="47">
        <f>IF($A79="","",$B79+$C79-$D79)</f>
        <v/>
      </c>
    </row>
    <row r="80">
      <c r="A80" s="45" t="n"/>
      <c r="B80" s="47">
        <f>IF($A80="","",SUMIFS('Dettes Clients'!$C$2:$C$201,'Dettes Clients'!$A$2:$A$201,$A80))</f>
        <v/>
      </c>
      <c r="C80" s="47">
        <f>IF($A80="","",SUMIFS('Dettes Clients'!$D$2:$D$201,'Dettes Clients'!$A$2:$A$201,$A80))</f>
        <v/>
      </c>
      <c r="D80" s="47">
        <f>IF($A80="","",SUMIFS('Dettes Clients'!$E$2:$E$201,'Dettes Clients'!$A$2:$A$201,$A80))</f>
        <v/>
      </c>
      <c r="E80" s="47">
        <f>IF($A80="","",$B80+$C80-$D80)</f>
        <v/>
      </c>
    </row>
    <row r="81">
      <c r="A81" s="45" t="n"/>
      <c r="B81" s="47">
        <f>IF($A81="","",SUMIFS('Dettes Clients'!$C$2:$C$201,'Dettes Clients'!$A$2:$A$201,$A81))</f>
        <v/>
      </c>
      <c r="C81" s="47">
        <f>IF($A81="","",SUMIFS('Dettes Clients'!$D$2:$D$201,'Dettes Clients'!$A$2:$A$201,$A81))</f>
        <v/>
      </c>
      <c r="D81" s="47">
        <f>IF($A81="","",SUMIFS('Dettes Clients'!$E$2:$E$201,'Dettes Clients'!$A$2:$A$201,$A81))</f>
        <v/>
      </c>
      <c r="E81" s="47">
        <f>IF($A81="","",$B81+$C81-$D81)</f>
        <v/>
      </c>
    </row>
    <row r="82">
      <c r="A82" s="45" t="n"/>
      <c r="B82" s="47">
        <f>IF($A82="","",SUMIFS('Dettes Clients'!$C$2:$C$201,'Dettes Clients'!$A$2:$A$201,$A82))</f>
        <v/>
      </c>
      <c r="C82" s="47">
        <f>IF($A82="","",SUMIFS('Dettes Clients'!$D$2:$D$201,'Dettes Clients'!$A$2:$A$201,$A82))</f>
        <v/>
      </c>
      <c r="D82" s="47">
        <f>IF($A82="","",SUMIFS('Dettes Clients'!$E$2:$E$201,'Dettes Clients'!$A$2:$A$201,$A82))</f>
        <v/>
      </c>
      <c r="E82" s="47">
        <f>IF($A82="","",$B82+$C82-$D82)</f>
        <v/>
      </c>
    </row>
    <row r="83">
      <c r="A83" s="45" t="n"/>
      <c r="B83" s="47">
        <f>IF($A83="","",SUMIFS('Dettes Clients'!$C$2:$C$201,'Dettes Clients'!$A$2:$A$201,$A83))</f>
        <v/>
      </c>
      <c r="C83" s="47">
        <f>IF($A83="","",SUMIFS('Dettes Clients'!$D$2:$D$201,'Dettes Clients'!$A$2:$A$201,$A83))</f>
        <v/>
      </c>
      <c r="D83" s="47">
        <f>IF($A83="","",SUMIFS('Dettes Clients'!$E$2:$E$201,'Dettes Clients'!$A$2:$A$201,$A83))</f>
        <v/>
      </c>
      <c r="E83" s="47">
        <f>IF($A83="","",$B83+$C83-$D83)</f>
        <v/>
      </c>
    </row>
    <row r="84">
      <c r="A84" s="45" t="n"/>
      <c r="B84" s="47">
        <f>IF($A84="","",SUMIFS('Dettes Clients'!$C$2:$C$201,'Dettes Clients'!$A$2:$A$201,$A84))</f>
        <v/>
      </c>
      <c r="C84" s="47">
        <f>IF($A84="","",SUMIFS('Dettes Clients'!$D$2:$D$201,'Dettes Clients'!$A$2:$A$201,$A84))</f>
        <v/>
      </c>
      <c r="D84" s="47">
        <f>IF($A84="","",SUMIFS('Dettes Clients'!$E$2:$E$201,'Dettes Clients'!$A$2:$A$201,$A84))</f>
        <v/>
      </c>
      <c r="E84" s="47">
        <f>IF($A84="","",$B84+$C84-$D84)</f>
        <v/>
      </c>
    </row>
    <row r="85">
      <c r="A85" s="45" t="n"/>
      <c r="B85" s="47">
        <f>IF($A85="","",SUMIFS('Dettes Clients'!$C$2:$C$201,'Dettes Clients'!$A$2:$A$201,$A85))</f>
        <v/>
      </c>
      <c r="C85" s="47">
        <f>IF($A85="","",SUMIFS('Dettes Clients'!$D$2:$D$201,'Dettes Clients'!$A$2:$A$201,$A85))</f>
        <v/>
      </c>
      <c r="D85" s="47">
        <f>IF($A85="","",SUMIFS('Dettes Clients'!$E$2:$E$201,'Dettes Clients'!$A$2:$A$201,$A85))</f>
        <v/>
      </c>
      <c r="E85" s="47">
        <f>IF($A85="","",$B85+$C85-$D85)</f>
        <v/>
      </c>
    </row>
    <row r="86">
      <c r="A86" s="45" t="n"/>
      <c r="B86" s="47">
        <f>IF($A86="","",SUMIFS('Dettes Clients'!$C$2:$C$201,'Dettes Clients'!$A$2:$A$201,$A86))</f>
        <v/>
      </c>
      <c r="C86" s="47">
        <f>IF($A86="","",SUMIFS('Dettes Clients'!$D$2:$D$201,'Dettes Clients'!$A$2:$A$201,$A86))</f>
        <v/>
      </c>
      <c r="D86" s="47">
        <f>IF($A86="","",SUMIFS('Dettes Clients'!$E$2:$E$201,'Dettes Clients'!$A$2:$A$201,$A86))</f>
        <v/>
      </c>
      <c r="E86" s="47">
        <f>IF($A86="","",$B86+$C86-$D86)</f>
        <v/>
      </c>
    </row>
    <row r="87">
      <c r="A87" s="45" t="n"/>
      <c r="B87" s="47">
        <f>IF($A87="","",SUMIFS('Dettes Clients'!$C$2:$C$201,'Dettes Clients'!$A$2:$A$201,$A87))</f>
        <v/>
      </c>
      <c r="C87" s="47">
        <f>IF($A87="","",SUMIFS('Dettes Clients'!$D$2:$D$201,'Dettes Clients'!$A$2:$A$201,$A87))</f>
        <v/>
      </c>
      <c r="D87" s="47">
        <f>IF($A87="","",SUMIFS('Dettes Clients'!$E$2:$E$201,'Dettes Clients'!$A$2:$A$201,$A87))</f>
        <v/>
      </c>
      <c r="E87" s="47">
        <f>IF($A87="","",$B87+$C87-$D87)</f>
        <v/>
      </c>
    </row>
    <row r="88">
      <c r="A88" s="45" t="n"/>
      <c r="B88" s="47">
        <f>IF($A88="","",SUMIFS('Dettes Clients'!$C$2:$C$201,'Dettes Clients'!$A$2:$A$201,$A88))</f>
        <v/>
      </c>
      <c r="C88" s="47">
        <f>IF($A88="","",SUMIFS('Dettes Clients'!$D$2:$D$201,'Dettes Clients'!$A$2:$A$201,$A88))</f>
        <v/>
      </c>
      <c r="D88" s="47">
        <f>IF($A88="","",SUMIFS('Dettes Clients'!$E$2:$E$201,'Dettes Clients'!$A$2:$A$201,$A88))</f>
        <v/>
      </c>
      <c r="E88" s="47">
        <f>IF($A88="","",$B88+$C88-$D88)</f>
        <v/>
      </c>
    </row>
    <row r="89">
      <c r="A89" s="45" t="n"/>
      <c r="B89" s="47">
        <f>IF($A89="","",SUMIFS('Dettes Clients'!$C$2:$C$201,'Dettes Clients'!$A$2:$A$201,$A89))</f>
        <v/>
      </c>
      <c r="C89" s="47">
        <f>IF($A89="","",SUMIFS('Dettes Clients'!$D$2:$D$201,'Dettes Clients'!$A$2:$A$201,$A89))</f>
        <v/>
      </c>
      <c r="D89" s="47">
        <f>IF($A89="","",SUMIFS('Dettes Clients'!$E$2:$E$201,'Dettes Clients'!$A$2:$A$201,$A89))</f>
        <v/>
      </c>
      <c r="E89" s="47">
        <f>IF($A89="","",$B89+$C89-$D89)</f>
        <v/>
      </c>
    </row>
    <row r="90">
      <c r="A90" s="45" t="n"/>
      <c r="B90" s="47">
        <f>IF($A90="","",SUMIFS('Dettes Clients'!$C$2:$C$201,'Dettes Clients'!$A$2:$A$201,$A90))</f>
        <v/>
      </c>
      <c r="C90" s="47">
        <f>IF($A90="","",SUMIFS('Dettes Clients'!$D$2:$D$201,'Dettes Clients'!$A$2:$A$201,$A90))</f>
        <v/>
      </c>
      <c r="D90" s="47">
        <f>IF($A90="","",SUMIFS('Dettes Clients'!$E$2:$E$201,'Dettes Clients'!$A$2:$A$201,$A90))</f>
        <v/>
      </c>
      <c r="E90" s="47">
        <f>IF($A90="","",$B90+$C90-$D90)</f>
        <v/>
      </c>
    </row>
    <row r="91">
      <c r="A91" s="45" t="n"/>
      <c r="B91" s="47">
        <f>IF($A91="","",SUMIFS('Dettes Clients'!$C$2:$C$201,'Dettes Clients'!$A$2:$A$201,$A91))</f>
        <v/>
      </c>
      <c r="C91" s="47">
        <f>IF($A91="","",SUMIFS('Dettes Clients'!$D$2:$D$201,'Dettes Clients'!$A$2:$A$201,$A91))</f>
        <v/>
      </c>
      <c r="D91" s="47">
        <f>IF($A91="","",SUMIFS('Dettes Clients'!$E$2:$E$201,'Dettes Clients'!$A$2:$A$201,$A91))</f>
        <v/>
      </c>
      <c r="E91" s="47">
        <f>IF($A91="","",$B91+$C91-$D91)</f>
        <v/>
      </c>
    </row>
    <row r="92">
      <c r="A92" s="45" t="n"/>
      <c r="B92" s="47">
        <f>IF($A92="","",SUMIFS('Dettes Clients'!$C$2:$C$201,'Dettes Clients'!$A$2:$A$201,$A92))</f>
        <v/>
      </c>
      <c r="C92" s="47">
        <f>IF($A92="","",SUMIFS('Dettes Clients'!$D$2:$D$201,'Dettes Clients'!$A$2:$A$201,$A92))</f>
        <v/>
      </c>
      <c r="D92" s="47">
        <f>IF($A92="","",SUMIFS('Dettes Clients'!$E$2:$E$201,'Dettes Clients'!$A$2:$A$201,$A92))</f>
        <v/>
      </c>
      <c r="E92" s="47">
        <f>IF($A92="","",$B92+$C92-$D92)</f>
        <v/>
      </c>
    </row>
    <row r="93">
      <c r="A93" s="45" t="n"/>
      <c r="B93" s="47">
        <f>IF($A93="","",SUMIFS('Dettes Clients'!$C$2:$C$201,'Dettes Clients'!$A$2:$A$201,$A93))</f>
        <v/>
      </c>
      <c r="C93" s="47">
        <f>IF($A93="","",SUMIFS('Dettes Clients'!$D$2:$D$201,'Dettes Clients'!$A$2:$A$201,$A93))</f>
        <v/>
      </c>
      <c r="D93" s="47">
        <f>IF($A93="","",SUMIFS('Dettes Clients'!$E$2:$E$201,'Dettes Clients'!$A$2:$A$201,$A93))</f>
        <v/>
      </c>
      <c r="E93" s="47">
        <f>IF($A93="","",$B93+$C93-$D93)</f>
        <v/>
      </c>
    </row>
    <row r="94">
      <c r="A94" s="45" t="n"/>
      <c r="B94" s="47">
        <f>IF($A94="","",SUMIFS('Dettes Clients'!$C$2:$C$201,'Dettes Clients'!$A$2:$A$201,$A94))</f>
        <v/>
      </c>
      <c r="C94" s="47">
        <f>IF($A94="","",SUMIFS('Dettes Clients'!$D$2:$D$201,'Dettes Clients'!$A$2:$A$201,$A94))</f>
        <v/>
      </c>
      <c r="D94" s="47">
        <f>IF($A94="","",SUMIFS('Dettes Clients'!$E$2:$E$201,'Dettes Clients'!$A$2:$A$201,$A94))</f>
        <v/>
      </c>
      <c r="E94" s="47">
        <f>IF($A94="","",$B94+$C94-$D94)</f>
        <v/>
      </c>
    </row>
    <row r="95">
      <c r="A95" s="45" t="n"/>
      <c r="B95" s="47">
        <f>IF($A95="","",SUMIFS('Dettes Clients'!$C$2:$C$201,'Dettes Clients'!$A$2:$A$201,$A95))</f>
        <v/>
      </c>
      <c r="C95" s="47">
        <f>IF($A95="","",SUMIFS('Dettes Clients'!$D$2:$D$201,'Dettes Clients'!$A$2:$A$201,$A95))</f>
        <v/>
      </c>
      <c r="D95" s="47">
        <f>IF($A95="","",SUMIFS('Dettes Clients'!$E$2:$E$201,'Dettes Clients'!$A$2:$A$201,$A95))</f>
        <v/>
      </c>
      <c r="E95" s="47">
        <f>IF($A95="","",$B95+$C95-$D95)</f>
        <v/>
      </c>
    </row>
    <row r="96">
      <c r="A96" s="45" t="n"/>
      <c r="B96" s="47">
        <f>IF($A96="","",SUMIFS('Dettes Clients'!$C$2:$C$201,'Dettes Clients'!$A$2:$A$201,$A96))</f>
        <v/>
      </c>
      <c r="C96" s="47">
        <f>IF($A96="","",SUMIFS('Dettes Clients'!$D$2:$D$201,'Dettes Clients'!$A$2:$A$201,$A96))</f>
        <v/>
      </c>
      <c r="D96" s="47">
        <f>IF($A96="","",SUMIFS('Dettes Clients'!$E$2:$E$201,'Dettes Clients'!$A$2:$A$201,$A96))</f>
        <v/>
      </c>
      <c r="E96" s="47">
        <f>IF($A96="","",$B96+$C96-$D96)</f>
        <v/>
      </c>
    </row>
    <row r="97">
      <c r="A97" s="45" t="n"/>
      <c r="B97" s="47">
        <f>IF($A97="","",SUMIFS('Dettes Clients'!$C$2:$C$201,'Dettes Clients'!$A$2:$A$201,$A97))</f>
        <v/>
      </c>
      <c r="C97" s="47">
        <f>IF($A97="","",SUMIFS('Dettes Clients'!$D$2:$D$201,'Dettes Clients'!$A$2:$A$201,$A97))</f>
        <v/>
      </c>
      <c r="D97" s="47">
        <f>IF($A97="","",SUMIFS('Dettes Clients'!$E$2:$E$201,'Dettes Clients'!$A$2:$A$201,$A97))</f>
        <v/>
      </c>
      <c r="E97" s="47">
        <f>IF($A97="","",$B97+$C97-$D97)</f>
        <v/>
      </c>
    </row>
    <row r="98">
      <c r="A98" s="45" t="n"/>
      <c r="B98" s="47">
        <f>IF($A98="","",SUMIFS('Dettes Clients'!$C$2:$C$201,'Dettes Clients'!$A$2:$A$201,$A98))</f>
        <v/>
      </c>
      <c r="C98" s="47">
        <f>IF($A98="","",SUMIFS('Dettes Clients'!$D$2:$D$201,'Dettes Clients'!$A$2:$A$201,$A98))</f>
        <v/>
      </c>
      <c r="D98" s="47">
        <f>IF($A98="","",SUMIFS('Dettes Clients'!$E$2:$E$201,'Dettes Clients'!$A$2:$A$201,$A98))</f>
        <v/>
      </c>
      <c r="E98" s="47">
        <f>IF($A98="","",$B98+$C98-$D98)</f>
        <v/>
      </c>
    </row>
    <row r="99">
      <c r="A99" s="45" t="n"/>
      <c r="B99" s="47">
        <f>IF($A99="","",SUMIFS('Dettes Clients'!$C$2:$C$201,'Dettes Clients'!$A$2:$A$201,$A99))</f>
        <v/>
      </c>
      <c r="C99" s="47">
        <f>IF($A99="","",SUMIFS('Dettes Clients'!$D$2:$D$201,'Dettes Clients'!$A$2:$A$201,$A99))</f>
        <v/>
      </c>
      <c r="D99" s="47">
        <f>IF($A99="","",SUMIFS('Dettes Clients'!$E$2:$E$201,'Dettes Clients'!$A$2:$A$201,$A99))</f>
        <v/>
      </c>
      <c r="E99" s="47">
        <f>IF($A99="","",$B99+$C99-$D99)</f>
        <v/>
      </c>
    </row>
    <row r="100">
      <c r="A100" s="45" t="n"/>
      <c r="B100" s="47">
        <f>IF($A100="","",SUMIFS('Dettes Clients'!$C$2:$C$201,'Dettes Clients'!$A$2:$A$201,$A100))</f>
        <v/>
      </c>
      <c r="C100" s="47">
        <f>IF($A100="","",SUMIFS('Dettes Clients'!$D$2:$D$201,'Dettes Clients'!$A$2:$A$201,$A100))</f>
        <v/>
      </c>
      <c r="D100" s="47">
        <f>IF($A100="","",SUMIFS('Dettes Clients'!$E$2:$E$201,'Dettes Clients'!$A$2:$A$201,$A100))</f>
        <v/>
      </c>
      <c r="E100" s="47">
        <f>IF($A100="","",$B100+$C100-$D100)</f>
        <v/>
      </c>
    </row>
    <row r="101">
      <c r="A101" s="45" t="n"/>
      <c r="B101" s="47">
        <f>IF($A101="","",SUMIFS('Dettes Clients'!$C$2:$C$201,'Dettes Clients'!$A$2:$A$201,$A101))</f>
        <v/>
      </c>
      <c r="C101" s="47">
        <f>IF($A101="","",SUMIFS('Dettes Clients'!$D$2:$D$201,'Dettes Clients'!$A$2:$A$201,$A101))</f>
        <v/>
      </c>
      <c r="D101" s="47">
        <f>IF($A101="","",SUMIFS('Dettes Clients'!$E$2:$E$201,'Dettes Clients'!$A$2:$A$201,$A101))</f>
        <v/>
      </c>
      <c r="E101" s="47">
        <f>IF($A101="","",$B101+$C101-$D101)</f>
        <v/>
      </c>
    </row>
    <row r="102">
      <c r="A102" s="45" t="n"/>
      <c r="B102" s="47">
        <f>IF($A102="","",SUMIFS('Dettes Clients'!$C$2:$C$201,'Dettes Clients'!$A$2:$A$201,$A102))</f>
        <v/>
      </c>
      <c r="C102" s="47">
        <f>IF($A102="","",SUMIFS('Dettes Clients'!$D$2:$D$201,'Dettes Clients'!$A$2:$A$201,$A102))</f>
        <v/>
      </c>
      <c r="D102" s="47">
        <f>IF($A102="","",SUMIFS('Dettes Clients'!$E$2:$E$201,'Dettes Clients'!$A$2:$A$201,$A102))</f>
        <v/>
      </c>
      <c r="E102" s="47">
        <f>IF($A102="","",$B102+$C102-$D102)</f>
        <v/>
      </c>
    </row>
    <row r="103">
      <c r="A103" s="45" t="n"/>
      <c r="B103" s="47">
        <f>IF($A103="","",SUMIFS('Dettes Clients'!$C$2:$C$201,'Dettes Clients'!$A$2:$A$201,$A103))</f>
        <v/>
      </c>
      <c r="C103" s="47">
        <f>IF($A103="","",SUMIFS('Dettes Clients'!$D$2:$D$201,'Dettes Clients'!$A$2:$A$201,$A103))</f>
        <v/>
      </c>
      <c r="D103" s="47">
        <f>IF($A103="","",SUMIFS('Dettes Clients'!$E$2:$E$201,'Dettes Clients'!$A$2:$A$201,$A103))</f>
        <v/>
      </c>
      <c r="E103" s="47">
        <f>IF($A103="","",$B103+$C103-$D103)</f>
        <v/>
      </c>
    </row>
  </sheetData>
  <conditionalFormatting sqref="E4:E103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 ht="22" customHeight="1">
      <c r="A1" s="44" t="inlineStr">
        <is>
          <t>Date</t>
        </is>
      </c>
      <c r="B1" s="44" t="inlineStr">
        <is>
          <t>Réseau</t>
        </is>
      </c>
      <c r="C1" s="44" t="inlineStr">
        <is>
          <t>Unités réalisées</t>
        </is>
      </c>
      <c r="D1" s="44" t="inlineStr">
        <is>
          <t>Valeur en CDF</t>
        </is>
      </c>
      <c r="E1" s="44" t="inlineStr">
        <is>
          <t>Valeur en USD</t>
        </is>
      </c>
    </row>
    <row r="2">
      <c r="A2" s="46" t="n"/>
      <c r="B2" s="45" t="n"/>
      <c r="C2" s="48" t="n"/>
      <c r="D2" s="47" t="n"/>
      <c r="E2" s="47" t="n"/>
    </row>
    <row r="3">
      <c r="A3" s="46" t="n"/>
      <c r="B3" s="45" t="n"/>
      <c r="C3" s="48" t="n"/>
      <c r="D3" s="47" t="n"/>
      <c r="E3" s="47" t="n"/>
    </row>
    <row r="4">
      <c r="A4" s="46" t="n"/>
      <c r="B4" s="45" t="n"/>
      <c r="C4" s="48" t="n"/>
      <c r="D4" s="47" t="n"/>
      <c r="E4" s="47" t="n"/>
    </row>
    <row r="5">
      <c r="A5" s="46" t="n"/>
      <c r="B5" s="45" t="n"/>
      <c r="C5" s="48" t="n"/>
      <c r="D5" s="47" t="n"/>
      <c r="E5" s="47" t="n"/>
    </row>
    <row r="6">
      <c r="A6" s="46" t="n"/>
      <c r="B6" s="45" t="n"/>
      <c r="C6" s="48" t="n"/>
      <c r="D6" s="47" t="n"/>
      <c r="E6" s="47" t="n"/>
    </row>
    <row r="7">
      <c r="A7" s="46" t="n"/>
      <c r="B7" s="45" t="n"/>
      <c r="C7" s="48" t="n"/>
      <c r="D7" s="47" t="n"/>
      <c r="E7" s="47" t="n"/>
    </row>
    <row r="8">
      <c r="A8" s="46" t="n"/>
      <c r="B8" s="45" t="n"/>
      <c r="C8" s="48" t="n"/>
      <c r="D8" s="47" t="n"/>
      <c r="E8" s="47" t="n"/>
    </row>
    <row r="9">
      <c r="A9" s="46" t="n"/>
      <c r="B9" s="45" t="n"/>
      <c r="C9" s="48" t="n"/>
      <c r="D9" s="47" t="n"/>
      <c r="E9" s="47" t="n"/>
    </row>
    <row r="10">
      <c r="A10" s="46" t="n"/>
      <c r="B10" s="45" t="n"/>
      <c r="C10" s="48" t="n"/>
      <c r="D10" s="47" t="n"/>
      <c r="E10" s="47" t="n"/>
    </row>
    <row r="11">
      <c r="A11" s="46" t="n"/>
      <c r="B11" s="45" t="n"/>
      <c r="C11" s="48" t="n"/>
      <c r="D11" s="47" t="n"/>
      <c r="E11" s="47" t="n"/>
    </row>
    <row r="12">
      <c r="A12" s="46" t="n"/>
      <c r="B12" s="45" t="n"/>
      <c r="C12" s="48" t="n"/>
      <c r="D12" s="47" t="n"/>
      <c r="E12" s="47" t="n"/>
    </row>
    <row r="13">
      <c r="A13" s="46" t="n"/>
      <c r="B13" s="45" t="n"/>
      <c r="C13" s="48" t="n"/>
      <c r="D13" s="47" t="n"/>
      <c r="E13" s="47" t="n"/>
    </row>
    <row r="14">
      <c r="A14" s="46" t="n"/>
      <c r="B14" s="45" t="n"/>
      <c r="C14" s="48" t="n"/>
      <c r="D14" s="47" t="n"/>
      <c r="E14" s="47" t="n"/>
    </row>
    <row r="15">
      <c r="A15" s="46" t="n"/>
      <c r="B15" s="45" t="n"/>
      <c r="C15" s="48" t="n"/>
      <c r="D15" s="47" t="n"/>
      <c r="E15" s="47" t="n"/>
    </row>
    <row r="16">
      <c r="A16" s="46" t="n"/>
      <c r="B16" s="45" t="n"/>
      <c r="C16" s="48" t="n"/>
      <c r="D16" s="47" t="n"/>
      <c r="E16" s="47" t="n"/>
    </row>
    <row r="17">
      <c r="A17" s="46" t="n"/>
      <c r="B17" s="45" t="n"/>
      <c r="C17" s="48" t="n"/>
      <c r="D17" s="47" t="n"/>
      <c r="E17" s="47" t="n"/>
    </row>
    <row r="18">
      <c r="A18" s="46" t="n"/>
      <c r="B18" s="45" t="n"/>
      <c r="C18" s="48" t="n"/>
      <c r="D18" s="47" t="n"/>
      <c r="E18" s="47" t="n"/>
    </row>
    <row r="19">
      <c r="A19" s="46" t="n"/>
      <c r="B19" s="45" t="n"/>
      <c r="C19" s="48" t="n"/>
      <c r="D19" s="47" t="n"/>
      <c r="E19" s="47" t="n"/>
    </row>
    <row r="20">
      <c r="A20" s="46" t="n"/>
      <c r="B20" s="45" t="n"/>
      <c r="C20" s="48" t="n"/>
      <c r="D20" s="47" t="n"/>
      <c r="E20" s="47" t="n"/>
    </row>
    <row r="21">
      <c r="A21" s="46" t="n"/>
      <c r="B21" s="45" t="n"/>
      <c r="C21" s="48" t="n"/>
      <c r="D21" s="47" t="n"/>
      <c r="E21" s="47" t="n"/>
    </row>
    <row r="22">
      <c r="A22" s="46" t="n"/>
      <c r="B22" s="45" t="n"/>
      <c r="C22" s="48" t="n"/>
      <c r="D22" s="47" t="n"/>
      <c r="E22" s="47" t="n"/>
    </row>
    <row r="23">
      <c r="A23" s="46" t="n"/>
      <c r="B23" s="45" t="n"/>
      <c r="C23" s="48" t="n"/>
      <c r="D23" s="47" t="n"/>
      <c r="E23" s="47" t="n"/>
    </row>
    <row r="24">
      <c r="A24" s="46" t="n"/>
      <c r="B24" s="45" t="n"/>
      <c r="C24" s="48" t="n"/>
      <c r="D24" s="47" t="n"/>
      <c r="E24" s="47" t="n"/>
    </row>
    <row r="25">
      <c r="A25" s="46" t="n"/>
      <c r="B25" s="45" t="n"/>
      <c r="C25" s="48" t="n"/>
      <c r="D25" s="47" t="n"/>
      <c r="E25" s="47" t="n"/>
    </row>
    <row r="26">
      <c r="A26" s="46" t="n"/>
      <c r="B26" s="45" t="n"/>
      <c r="C26" s="48" t="n"/>
      <c r="D26" s="47" t="n"/>
      <c r="E26" s="47" t="n"/>
    </row>
    <row r="27">
      <c r="A27" s="46" t="n"/>
      <c r="B27" s="45" t="n"/>
      <c r="C27" s="48" t="n"/>
      <c r="D27" s="47" t="n"/>
      <c r="E27" s="47" t="n"/>
    </row>
    <row r="28">
      <c r="A28" s="46" t="n"/>
      <c r="B28" s="45" t="n"/>
      <c r="C28" s="48" t="n"/>
      <c r="D28" s="47" t="n"/>
      <c r="E28" s="47" t="n"/>
    </row>
    <row r="29">
      <c r="A29" s="46" t="n"/>
      <c r="B29" s="45" t="n"/>
      <c r="C29" s="48" t="n"/>
      <c r="D29" s="47" t="n"/>
      <c r="E29" s="47" t="n"/>
    </row>
    <row r="30">
      <c r="A30" s="46" t="n"/>
      <c r="B30" s="45" t="n"/>
      <c r="C30" s="48" t="n"/>
      <c r="D30" s="47" t="n"/>
      <c r="E30" s="47" t="n"/>
    </row>
    <row r="31">
      <c r="A31" s="46" t="n"/>
      <c r="B31" s="45" t="n"/>
      <c r="C31" s="48" t="n"/>
      <c r="D31" s="47" t="n"/>
      <c r="E31" s="47" t="n"/>
    </row>
    <row r="32">
      <c r="A32" s="46" t="n"/>
      <c r="B32" s="45" t="n"/>
      <c r="C32" s="48" t="n"/>
      <c r="D32" s="47" t="n"/>
      <c r="E32" s="47" t="n"/>
    </row>
    <row r="33">
      <c r="A33" s="46" t="n"/>
      <c r="B33" s="45" t="n"/>
      <c r="C33" s="48" t="n"/>
      <c r="D33" s="47" t="n"/>
      <c r="E33" s="47" t="n"/>
    </row>
    <row r="34">
      <c r="A34" s="46" t="n"/>
      <c r="B34" s="45" t="n"/>
      <c r="C34" s="48" t="n"/>
      <c r="D34" s="47" t="n"/>
      <c r="E34" s="47" t="n"/>
    </row>
    <row r="35">
      <c r="A35" s="46" t="n"/>
      <c r="B35" s="45" t="n"/>
      <c r="C35" s="48" t="n"/>
      <c r="D35" s="47" t="n"/>
      <c r="E35" s="47" t="n"/>
    </row>
    <row r="36">
      <c r="A36" s="46" t="n"/>
      <c r="B36" s="45" t="n"/>
      <c r="C36" s="48" t="n"/>
      <c r="D36" s="47" t="n"/>
      <c r="E36" s="47" t="n"/>
    </row>
    <row r="37">
      <c r="A37" s="46" t="n"/>
      <c r="B37" s="45" t="n"/>
      <c r="C37" s="48" t="n"/>
      <c r="D37" s="47" t="n"/>
      <c r="E37" s="47" t="n"/>
    </row>
    <row r="38">
      <c r="A38" s="46" t="n"/>
      <c r="B38" s="45" t="n"/>
      <c r="C38" s="48" t="n"/>
      <c r="D38" s="47" t="n"/>
      <c r="E38" s="47" t="n"/>
    </row>
    <row r="39">
      <c r="A39" s="46" t="n"/>
      <c r="B39" s="45" t="n"/>
      <c r="C39" s="48" t="n"/>
      <c r="D39" s="47" t="n"/>
      <c r="E39" s="47" t="n"/>
    </row>
    <row r="40">
      <c r="A40" s="46" t="n"/>
      <c r="B40" s="45" t="n"/>
      <c r="C40" s="48" t="n"/>
      <c r="D40" s="47" t="n"/>
      <c r="E40" s="47" t="n"/>
    </row>
    <row r="41">
      <c r="A41" s="46" t="n"/>
      <c r="B41" s="45" t="n"/>
      <c r="C41" s="48" t="n"/>
      <c r="D41" s="47" t="n"/>
      <c r="E41" s="47" t="n"/>
    </row>
    <row r="42">
      <c r="A42" s="46" t="n"/>
      <c r="B42" s="45" t="n"/>
      <c r="C42" s="48" t="n"/>
      <c r="D42" s="47" t="n"/>
      <c r="E42" s="47" t="n"/>
    </row>
    <row r="43">
      <c r="A43" s="46" t="n"/>
      <c r="B43" s="45" t="n"/>
      <c r="C43" s="48" t="n"/>
      <c r="D43" s="47" t="n"/>
      <c r="E43" s="47" t="n"/>
    </row>
    <row r="44">
      <c r="A44" s="46" t="n"/>
      <c r="B44" s="45" t="n"/>
      <c r="C44" s="48" t="n"/>
      <c r="D44" s="47" t="n"/>
      <c r="E44" s="47" t="n"/>
    </row>
    <row r="45">
      <c r="A45" s="46" t="n"/>
      <c r="B45" s="45" t="n"/>
      <c r="C45" s="48" t="n"/>
      <c r="D45" s="47" t="n"/>
      <c r="E45" s="47" t="n"/>
    </row>
    <row r="46">
      <c r="A46" s="46" t="n"/>
      <c r="B46" s="45" t="n"/>
      <c r="C46" s="48" t="n"/>
      <c r="D46" s="47" t="n"/>
      <c r="E46" s="47" t="n"/>
    </row>
    <row r="47">
      <c r="A47" s="46" t="n"/>
      <c r="B47" s="45" t="n"/>
      <c r="C47" s="48" t="n"/>
      <c r="D47" s="47" t="n"/>
      <c r="E47" s="47" t="n"/>
    </row>
    <row r="48">
      <c r="A48" s="46" t="n"/>
      <c r="B48" s="45" t="n"/>
      <c r="C48" s="48" t="n"/>
      <c r="D48" s="47" t="n"/>
      <c r="E48" s="47" t="n"/>
    </row>
    <row r="49">
      <c r="A49" s="46" t="n"/>
      <c r="B49" s="45" t="n"/>
      <c r="C49" s="48" t="n"/>
      <c r="D49" s="47" t="n"/>
      <c r="E49" s="47" t="n"/>
    </row>
    <row r="50">
      <c r="A50" s="46" t="n"/>
      <c r="B50" s="45" t="n"/>
      <c r="C50" s="48" t="n"/>
      <c r="D50" s="47" t="n"/>
      <c r="E50" s="47" t="n"/>
    </row>
    <row r="51">
      <c r="A51" s="46" t="n"/>
      <c r="B51" s="45" t="n"/>
      <c r="C51" s="48" t="n"/>
      <c r="D51" s="47" t="n"/>
      <c r="E51" s="47" t="n"/>
    </row>
    <row r="52">
      <c r="A52" s="46" t="n"/>
      <c r="B52" s="45" t="n"/>
      <c r="C52" s="48" t="n"/>
      <c r="D52" s="47" t="n"/>
      <c r="E52" s="47" t="n"/>
    </row>
    <row r="53">
      <c r="A53" s="46" t="n"/>
      <c r="B53" s="45" t="n"/>
      <c r="C53" s="48" t="n"/>
      <c r="D53" s="47" t="n"/>
      <c r="E53" s="47" t="n"/>
    </row>
    <row r="54">
      <c r="A54" s="46" t="n"/>
      <c r="B54" s="45" t="n"/>
      <c r="C54" s="48" t="n"/>
      <c r="D54" s="47" t="n"/>
      <c r="E54" s="47" t="n"/>
    </row>
    <row r="55">
      <c r="A55" s="46" t="n"/>
      <c r="B55" s="45" t="n"/>
      <c r="C55" s="48" t="n"/>
      <c r="D55" s="47" t="n"/>
      <c r="E55" s="47" t="n"/>
    </row>
    <row r="56">
      <c r="A56" s="46" t="n"/>
      <c r="B56" s="45" t="n"/>
      <c r="C56" s="48" t="n"/>
      <c r="D56" s="47" t="n"/>
      <c r="E56" s="47" t="n"/>
    </row>
    <row r="57">
      <c r="A57" s="46" t="n"/>
      <c r="B57" s="45" t="n"/>
      <c r="C57" s="48" t="n"/>
      <c r="D57" s="47" t="n"/>
      <c r="E57" s="47" t="n"/>
    </row>
    <row r="58">
      <c r="A58" s="46" t="n"/>
      <c r="B58" s="45" t="n"/>
      <c r="C58" s="48" t="n"/>
      <c r="D58" s="47" t="n"/>
      <c r="E58" s="47" t="n"/>
    </row>
    <row r="59">
      <c r="A59" s="46" t="n"/>
      <c r="B59" s="45" t="n"/>
      <c r="C59" s="48" t="n"/>
      <c r="D59" s="47" t="n"/>
      <c r="E59" s="47" t="n"/>
    </row>
    <row r="60">
      <c r="A60" s="46" t="n"/>
      <c r="B60" s="45" t="n"/>
      <c r="C60" s="48" t="n"/>
      <c r="D60" s="47" t="n"/>
      <c r="E60" s="47" t="n"/>
    </row>
    <row r="61">
      <c r="A61" s="46" t="n"/>
      <c r="B61" s="45" t="n"/>
      <c r="C61" s="48" t="n"/>
      <c r="D61" s="47" t="n"/>
      <c r="E61" s="47" t="n"/>
    </row>
    <row r="62">
      <c r="A62" s="46" t="n"/>
      <c r="B62" s="45" t="n"/>
      <c r="C62" s="48" t="n"/>
      <c r="D62" s="47" t="n"/>
      <c r="E62" s="47" t="n"/>
    </row>
    <row r="63">
      <c r="A63" s="46" t="n"/>
      <c r="B63" s="45" t="n"/>
      <c r="C63" s="48" t="n"/>
      <c r="D63" s="47" t="n"/>
      <c r="E63" s="47" t="n"/>
    </row>
    <row r="64">
      <c r="A64" s="46" t="n"/>
      <c r="B64" s="45" t="n"/>
      <c r="C64" s="48" t="n"/>
      <c r="D64" s="47" t="n"/>
      <c r="E64" s="47" t="n"/>
    </row>
    <row r="65">
      <c r="A65" s="46" t="n"/>
      <c r="B65" s="45" t="n"/>
      <c r="C65" s="48" t="n"/>
      <c r="D65" s="47" t="n"/>
      <c r="E65" s="47" t="n"/>
    </row>
    <row r="66">
      <c r="A66" s="46" t="n"/>
      <c r="B66" s="45" t="n"/>
      <c r="C66" s="48" t="n"/>
      <c r="D66" s="47" t="n"/>
      <c r="E66" s="47" t="n"/>
    </row>
    <row r="67">
      <c r="A67" s="46" t="n"/>
      <c r="B67" s="45" t="n"/>
      <c r="C67" s="48" t="n"/>
      <c r="D67" s="47" t="n"/>
      <c r="E67" s="47" t="n"/>
    </row>
    <row r="68">
      <c r="A68" s="46" t="n"/>
      <c r="B68" s="45" t="n"/>
      <c r="C68" s="48" t="n"/>
      <c r="D68" s="47" t="n"/>
      <c r="E68" s="47" t="n"/>
    </row>
    <row r="69">
      <c r="A69" s="46" t="n"/>
      <c r="B69" s="45" t="n"/>
      <c r="C69" s="48" t="n"/>
      <c r="D69" s="47" t="n"/>
      <c r="E69" s="47" t="n"/>
    </row>
    <row r="70">
      <c r="A70" s="46" t="n"/>
      <c r="B70" s="45" t="n"/>
      <c r="C70" s="48" t="n"/>
      <c r="D70" s="47" t="n"/>
      <c r="E70" s="47" t="n"/>
    </row>
    <row r="71">
      <c r="A71" s="46" t="n"/>
      <c r="B71" s="45" t="n"/>
      <c r="C71" s="48" t="n"/>
      <c r="D71" s="47" t="n"/>
      <c r="E71" s="47" t="n"/>
    </row>
    <row r="72">
      <c r="A72" s="46" t="n"/>
      <c r="B72" s="45" t="n"/>
      <c r="C72" s="48" t="n"/>
      <c r="D72" s="47" t="n"/>
      <c r="E72" s="47" t="n"/>
    </row>
    <row r="73">
      <c r="A73" s="46" t="n"/>
      <c r="B73" s="45" t="n"/>
      <c r="C73" s="48" t="n"/>
      <c r="D73" s="47" t="n"/>
      <c r="E73" s="47" t="n"/>
    </row>
    <row r="74">
      <c r="A74" s="46" t="n"/>
      <c r="B74" s="45" t="n"/>
      <c r="C74" s="48" t="n"/>
      <c r="D74" s="47" t="n"/>
      <c r="E74" s="47" t="n"/>
    </row>
    <row r="75">
      <c r="A75" s="46" t="n"/>
      <c r="B75" s="45" t="n"/>
      <c r="C75" s="48" t="n"/>
      <c r="D75" s="47" t="n"/>
      <c r="E75" s="47" t="n"/>
    </row>
    <row r="76">
      <c r="A76" s="46" t="n"/>
      <c r="B76" s="45" t="n"/>
      <c r="C76" s="48" t="n"/>
      <c r="D76" s="47" t="n"/>
      <c r="E76" s="47" t="n"/>
    </row>
    <row r="77">
      <c r="A77" s="46" t="n"/>
      <c r="B77" s="45" t="n"/>
      <c r="C77" s="48" t="n"/>
      <c r="D77" s="47" t="n"/>
      <c r="E77" s="47" t="n"/>
    </row>
    <row r="78">
      <c r="A78" s="46" t="n"/>
      <c r="B78" s="45" t="n"/>
      <c r="C78" s="48" t="n"/>
      <c r="D78" s="47" t="n"/>
      <c r="E78" s="47" t="n"/>
    </row>
    <row r="79">
      <c r="A79" s="46" t="n"/>
      <c r="B79" s="45" t="n"/>
      <c r="C79" s="48" t="n"/>
      <c r="D79" s="47" t="n"/>
      <c r="E79" s="47" t="n"/>
    </row>
    <row r="80">
      <c r="A80" s="46" t="n"/>
      <c r="B80" s="45" t="n"/>
      <c r="C80" s="48" t="n"/>
      <c r="D80" s="47" t="n"/>
      <c r="E80" s="47" t="n"/>
    </row>
    <row r="81">
      <c r="A81" s="46" t="n"/>
      <c r="B81" s="45" t="n"/>
      <c r="C81" s="48" t="n"/>
      <c r="D81" s="47" t="n"/>
      <c r="E81" s="47" t="n"/>
    </row>
    <row r="82">
      <c r="A82" s="46" t="n"/>
      <c r="B82" s="45" t="n"/>
      <c r="C82" s="48" t="n"/>
      <c r="D82" s="47" t="n"/>
      <c r="E82" s="47" t="n"/>
    </row>
    <row r="83">
      <c r="A83" s="46" t="n"/>
      <c r="B83" s="45" t="n"/>
      <c r="C83" s="48" t="n"/>
      <c r="D83" s="47" t="n"/>
      <c r="E83" s="47" t="n"/>
    </row>
    <row r="84">
      <c r="A84" s="46" t="n"/>
      <c r="B84" s="45" t="n"/>
      <c r="C84" s="48" t="n"/>
      <c r="D84" s="47" t="n"/>
      <c r="E84" s="47" t="n"/>
    </row>
    <row r="85">
      <c r="A85" s="46" t="n"/>
      <c r="B85" s="45" t="n"/>
      <c r="C85" s="48" t="n"/>
      <c r="D85" s="47" t="n"/>
      <c r="E85" s="47" t="n"/>
    </row>
    <row r="86">
      <c r="A86" s="46" t="n"/>
      <c r="B86" s="45" t="n"/>
      <c r="C86" s="48" t="n"/>
      <c r="D86" s="47" t="n"/>
      <c r="E86" s="47" t="n"/>
    </row>
    <row r="87">
      <c r="A87" s="46" t="n"/>
      <c r="B87" s="45" t="n"/>
      <c r="C87" s="48" t="n"/>
      <c r="D87" s="47" t="n"/>
      <c r="E87" s="47" t="n"/>
    </row>
    <row r="88">
      <c r="A88" s="46" t="n"/>
      <c r="B88" s="45" t="n"/>
      <c r="C88" s="48" t="n"/>
      <c r="D88" s="47" t="n"/>
      <c r="E88" s="47" t="n"/>
    </row>
    <row r="89">
      <c r="A89" s="46" t="n"/>
      <c r="B89" s="45" t="n"/>
      <c r="C89" s="48" t="n"/>
      <c r="D89" s="47" t="n"/>
      <c r="E89" s="47" t="n"/>
    </row>
    <row r="90">
      <c r="A90" s="46" t="n"/>
      <c r="B90" s="45" t="n"/>
      <c r="C90" s="48" t="n"/>
      <c r="D90" s="47" t="n"/>
      <c r="E90" s="47" t="n"/>
    </row>
    <row r="91">
      <c r="A91" s="46" t="n"/>
      <c r="B91" s="45" t="n"/>
      <c r="C91" s="48" t="n"/>
      <c r="D91" s="47" t="n"/>
      <c r="E91" s="47" t="n"/>
    </row>
    <row r="92">
      <c r="A92" s="46" t="n"/>
      <c r="B92" s="45" t="n"/>
      <c r="C92" s="48" t="n"/>
      <c r="D92" s="47" t="n"/>
      <c r="E92" s="47" t="n"/>
    </row>
    <row r="93">
      <c r="A93" s="46" t="n"/>
      <c r="B93" s="45" t="n"/>
      <c r="C93" s="48" t="n"/>
      <c r="D93" s="47" t="n"/>
      <c r="E93" s="47" t="n"/>
    </row>
    <row r="94">
      <c r="A94" s="46" t="n"/>
      <c r="B94" s="45" t="n"/>
      <c r="C94" s="48" t="n"/>
      <c r="D94" s="47" t="n"/>
      <c r="E94" s="47" t="n"/>
    </row>
    <row r="95">
      <c r="A95" s="46" t="n"/>
      <c r="B95" s="45" t="n"/>
      <c r="C95" s="48" t="n"/>
      <c r="D95" s="47" t="n"/>
      <c r="E95" s="47" t="n"/>
    </row>
    <row r="96">
      <c r="A96" s="46" t="n"/>
      <c r="B96" s="45" t="n"/>
      <c r="C96" s="48" t="n"/>
      <c r="D96" s="47" t="n"/>
      <c r="E96" s="47" t="n"/>
    </row>
    <row r="97">
      <c r="A97" s="46" t="n"/>
      <c r="B97" s="45" t="n"/>
      <c r="C97" s="48" t="n"/>
      <c r="D97" s="47" t="n"/>
      <c r="E97" s="47" t="n"/>
    </row>
    <row r="98">
      <c r="A98" s="46" t="n"/>
      <c r="B98" s="45" t="n"/>
      <c r="C98" s="48" t="n"/>
      <c r="D98" s="47" t="n"/>
      <c r="E98" s="47" t="n"/>
    </row>
    <row r="99">
      <c r="A99" s="46" t="n"/>
      <c r="B99" s="45" t="n"/>
      <c r="C99" s="48" t="n"/>
      <c r="D99" s="47" t="n"/>
      <c r="E99" s="47" t="n"/>
    </row>
    <row r="100">
      <c r="A100" s="46" t="n"/>
      <c r="B100" s="45" t="n"/>
      <c r="C100" s="48" t="n"/>
      <c r="D100" s="47" t="n"/>
      <c r="E100" s="47" t="n"/>
    </row>
    <row r="101">
      <c r="A101" s="46" t="n"/>
      <c r="B101" s="45" t="n"/>
      <c r="C101" s="48" t="n"/>
      <c r="D101" s="47" t="n"/>
      <c r="E101" s="47" t="n"/>
    </row>
    <row r="102">
      <c r="A102" s="46" t="n"/>
      <c r="B102" s="45" t="n"/>
      <c r="C102" s="48" t="n"/>
      <c r="D102" s="47" t="n"/>
      <c r="E102" s="47" t="n"/>
    </row>
    <row r="103">
      <c r="A103" s="46" t="n"/>
      <c r="B103" s="45" t="n"/>
      <c r="C103" s="48" t="n"/>
      <c r="D103" s="47" t="n"/>
      <c r="E103" s="47" t="n"/>
    </row>
    <row r="104">
      <c r="A104" s="46" t="n"/>
      <c r="B104" s="45" t="n"/>
      <c r="C104" s="48" t="n"/>
      <c r="D104" s="47" t="n"/>
      <c r="E104" s="47" t="n"/>
    </row>
    <row r="105">
      <c r="A105" s="46" t="n"/>
      <c r="B105" s="45" t="n"/>
      <c r="C105" s="48" t="n"/>
      <c r="D105" s="47" t="n"/>
      <c r="E105" s="47" t="n"/>
    </row>
    <row r="106">
      <c r="A106" s="46" t="n"/>
      <c r="B106" s="45" t="n"/>
      <c r="C106" s="48" t="n"/>
      <c r="D106" s="47" t="n"/>
      <c r="E106" s="47" t="n"/>
    </row>
    <row r="107">
      <c r="A107" s="46" t="n"/>
      <c r="B107" s="45" t="n"/>
      <c r="C107" s="48" t="n"/>
      <c r="D107" s="47" t="n"/>
      <c r="E107" s="47" t="n"/>
    </row>
    <row r="108">
      <c r="A108" s="46" t="n"/>
      <c r="B108" s="45" t="n"/>
      <c r="C108" s="48" t="n"/>
      <c r="D108" s="47" t="n"/>
      <c r="E108" s="47" t="n"/>
    </row>
    <row r="109">
      <c r="A109" s="46" t="n"/>
      <c r="B109" s="45" t="n"/>
      <c r="C109" s="48" t="n"/>
      <c r="D109" s="47" t="n"/>
      <c r="E109" s="47" t="n"/>
    </row>
    <row r="110">
      <c r="A110" s="46" t="n"/>
      <c r="B110" s="45" t="n"/>
      <c r="C110" s="48" t="n"/>
      <c r="D110" s="47" t="n"/>
      <c r="E110" s="47" t="n"/>
    </row>
    <row r="111">
      <c r="A111" s="46" t="n"/>
      <c r="B111" s="45" t="n"/>
      <c r="C111" s="48" t="n"/>
      <c r="D111" s="47" t="n"/>
      <c r="E111" s="47" t="n"/>
    </row>
    <row r="112">
      <c r="A112" s="46" t="n"/>
      <c r="B112" s="45" t="n"/>
      <c r="C112" s="48" t="n"/>
      <c r="D112" s="47" t="n"/>
      <c r="E112" s="47" t="n"/>
    </row>
    <row r="113">
      <c r="A113" s="46" t="n"/>
      <c r="B113" s="45" t="n"/>
      <c r="C113" s="48" t="n"/>
      <c r="D113" s="47" t="n"/>
      <c r="E113" s="47" t="n"/>
    </row>
    <row r="114">
      <c r="A114" s="46" t="n"/>
      <c r="B114" s="45" t="n"/>
      <c r="C114" s="48" t="n"/>
      <c r="D114" s="47" t="n"/>
      <c r="E114" s="47" t="n"/>
    </row>
    <row r="115">
      <c r="A115" s="46" t="n"/>
      <c r="B115" s="45" t="n"/>
      <c r="C115" s="48" t="n"/>
      <c r="D115" s="47" t="n"/>
      <c r="E115" s="47" t="n"/>
    </row>
    <row r="116">
      <c r="A116" s="46" t="n"/>
      <c r="B116" s="45" t="n"/>
      <c r="C116" s="48" t="n"/>
      <c r="D116" s="47" t="n"/>
      <c r="E116" s="47" t="n"/>
    </row>
    <row r="117">
      <c r="A117" s="46" t="n"/>
      <c r="B117" s="45" t="n"/>
      <c r="C117" s="48" t="n"/>
      <c r="D117" s="47" t="n"/>
      <c r="E117" s="47" t="n"/>
    </row>
    <row r="118">
      <c r="A118" s="46" t="n"/>
      <c r="B118" s="45" t="n"/>
      <c r="C118" s="48" t="n"/>
      <c r="D118" s="47" t="n"/>
      <c r="E118" s="47" t="n"/>
    </row>
    <row r="119">
      <c r="A119" s="46" t="n"/>
      <c r="B119" s="45" t="n"/>
      <c r="C119" s="48" t="n"/>
      <c r="D119" s="47" t="n"/>
      <c r="E119" s="47" t="n"/>
    </row>
    <row r="120">
      <c r="A120" s="46" t="n"/>
      <c r="B120" s="45" t="n"/>
      <c r="C120" s="48" t="n"/>
      <c r="D120" s="47" t="n"/>
      <c r="E120" s="47" t="n"/>
    </row>
    <row r="121">
      <c r="A121" s="46" t="n"/>
      <c r="B121" s="45" t="n"/>
      <c r="C121" s="48" t="n"/>
      <c r="D121" s="47" t="n"/>
      <c r="E121" s="47" t="n"/>
    </row>
    <row r="122">
      <c r="A122" s="46" t="n"/>
      <c r="B122" s="45" t="n"/>
      <c r="C122" s="48" t="n"/>
      <c r="D122" s="47" t="n"/>
      <c r="E122" s="47" t="n"/>
    </row>
    <row r="123">
      <c r="A123" s="46" t="n"/>
      <c r="B123" s="45" t="n"/>
      <c r="C123" s="48" t="n"/>
      <c r="D123" s="47" t="n"/>
      <c r="E123" s="47" t="n"/>
    </row>
    <row r="124">
      <c r="A124" s="46" t="n"/>
      <c r="B124" s="45" t="n"/>
      <c r="C124" s="48" t="n"/>
      <c r="D124" s="47" t="n"/>
      <c r="E124" s="47" t="n"/>
    </row>
    <row r="125">
      <c r="A125" s="46" t="n"/>
      <c r="B125" s="45" t="n"/>
      <c r="C125" s="48" t="n"/>
      <c r="D125" s="47" t="n"/>
      <c r="E125" s="47" t="n"/>
    </row>
    <row r="126">
      <c r="A126" s="46" t="n"/>
      <c r="B126" s="45" t="n"/>
      <c r="C126" s="48" t="n"/>
      <c r="D126" s="47" t="n"/>
      <c r="E126" s="47" t="n"/>
    </row>
    <row r="127">
      <c r="A127" s="46" t="n"/>
      <c r="B127" s="45" t="n"/>
      <c r="C127" s="48" t="n"/>
      <c r="D127" s="47" t="n"/>
      <c r="E127" s="47" t="n"/>
    </row>
    <row r="128">
      <c r="A128" s="46" t="n"/>
      <c r="B128" s="45" t="n"/>
      <c r="C128" s="48" t="n"/>
      <c r="D128" s="47" t="n"/>
      <c r="E128" s="47" t="n"/>
    </row>
    <row r="129">
      <c r="A129" s="46" t="n"/>
      <c r="B129" s="45" t="n"/>
      <c r="C129" s="48" t="n"/>
      <c r="D129" s="47" t="n"/>
      <c r="E129" s="47" t="n"/>
    </row>
    <row r="130">
      <c r="A130" s="46" t="n"/>
      <c r="B130" s="45" t="n"/>
      <c r="C130" s="48" t="n"/>
      <c r="D130" s="47" t="n"/>
      <c r="E130" s="47" t="n"/>
    </row>
    <row r="131">
      <c r="A131" s="46" t="n"/>
      <c r="B131" s="45" t="n"/>
      <c r="C131" s="48" t="n"/>
      <c r="D131" s="47" t="n"/>
      <c r="E131" s="47" t="n"/>
    </row>
    <row r="132">
      <c r="A132" s="46" t="n"/>
      <c r="B132" s="45" t="n"/>
      <c r="C132" s="48" t="n"/>
      <c r="D132" s="47" t="n"/>
      <c r="E132" s="47" t="n"/>
    </row>
    <row r="133">
      <c r="A133" s="46" t="n"/>
      <c r="B133" s="45" t="n"/>
      <c r="C133" s="48" t="n"/>
      <c r="D133" s="47" t="n"/>
      <c r="E133" s="47" t="n"/>
    </row>
    <row r="134">
      <c r="A134" s="46" t="n"/>
      <c r="B134" s="45" t="n"/>
      <c r="C134" s="48" t="n"/>
      <c r="D134" s="47" t="n"/>
      <c r="E134" s="47" t="n"/>
    </row>
    <row r="135">
      <c r="A135" s="46" t="n"/>
      <c r="B135" s="45" t="n"/>
      <c r="C135" s="48" t="n"/>
      <c r="D135" s="47" t="n"/>
      <c r="E135" s="47" t="n"/>
    </row>
    <row r="136">
      <c r="A136" s="46" t="n"/>
      <c r="B136" s="45" t="n"/>
      <c r="C136" s="48" t="n"/>
      <c r="D136" s="47" t="n"/>
      <c r="E136" s="47" t="n"/>
    </row>
    <row r="137">
      <c r="A137" s="46" t="n"/>
      <c r="B137" s="45" t="n"/>
      <c r="C137" s="48" t="n"/>
      <c r="D137" s="47" t="n"/>
      <c r="E137" s="47" t="n"/>
    </row>
    <row r="138">
      <c r="A138" s="46" t="n"/>
      <c r="B138" s="45" t="n"/>
      <c r="C138" s="48" t="n"/>
      <c r="D138" s="47" t="n"/>
      <c r="E138" s="47" t="n"/>
    </row>
    <row r="139">
      <c r="A139" s="46" t="n"/>
      <c r="B139" s="45" t="n"/>
      <c r="C139" s="48" t="n"/>
      <c r="D139" s="47" t="n"/>
      <c r="E139" s="47" t="n"/>
    </row>
    <row r="140">
      <c r="A140" s="46" t="n"/>
      <c r="B140" s="45" t="n"/>
      <c r="C140" s="48" t="n"/>
      <c r="D140" s="47" t="n"/>
      <c r="E140" s="47" t="n"/>
    </row>
    <row r="141">
      <c r="A141" s="46" t="n"/>
      <c r="B141" s="45" t="n"/>
      <c r="C141" s="48" t="n"/>
      <c r="D141" s="47" t="n"/>
      <c r="E141" s="47" t="n"/>
    </row>
    <row r="142">
      <c r="A142" s="46" t="n"/>
      <c r="B142" s="45" t="n"/>
      <c r="C142" s="48" t="n"/>
      <c r="D142" s="47" t="n"/>
      <c r="E142" s="47" t="n"/>
    </row>
    <row r="143">
      <c r="A143" s="46" t="n"/>
      <c r="B143" s="45" t="n"/>
      <c r="C143" s="48" t="n"/>
      <c r="D143" s="47" t="n"/>
      <c r="E143" s="47" t="n"/>
    </row>
    <row r="144">
      <c r="A144" s="46" t="n"/>
      <c r="B144" s="45" t="n"/>
      <c r="C144" s="48" t="n"/>
      <c r="D144" s="47" t="n"/>
      <c r="E144" s="47" t="n"/>
    </row>
    <row r="145">
      <c r="A145" s="46" t="n"/>
      <c r="B145" s="45" t="n"/>
      <c r="C145" s="48" t="n"/>
      <c r="D145" s="47" t="n"/>
      <c r="E145" s="47" t="n"/>
    </row>
    <row r="146">
      <c r="A146" s="46" t="n"/>
      <c r="B146" s="45" t="n"/>
      <c r="C146" s="48" t="n"/>
      <c r="D146" s="47" t="n"/>
      <c r="E146" s="47" t="n"/>
    </row>
    <row r="147">
      <c r="A147" s="46" t="n"/>
      <c r="B147" s="45" t="n"/>
      <c r="C147" s="48" t="n"/>
      <c r="D147" s="47" t="n"/>
      <c r="E147" s="47" t="n"/>
    </row>
    <row r="148">
      <c r="A148" s="46" t="n"/>
      <c r="B148" s="45" t="n"/>
      <c r="C148" s="48" t="n"/>
      <c r="D148" s="47" t="n"/>
      <c r="E148" s="47" t="n"/>
    </row>
    <row r="149">
      <c r="A149" s="46" t="n"/>
      <c r="B149" s="45" t="n"/>
      <c r="C149" s="48" t="n"/>
      <c r="D149" s="47" t="n"/>
      <c r="E149" s="47" t="n"/>
    </row>
    <row r="150">
      <c r="A150" s="46" t="n"/>
      <c r="B150" s="45" t="n"/>
      <c r="C150" s="48" t="n"/>
      <c r="D150" s="47" t="n"/>
      <c r="E150" s="47" t="n"/>
    </row>
    <row r="151">
      <c r="A151" s="46" t="n"/>
      <c r="B151" s="45" t="n"/>
      <c r="C151" s="48" t="n"/>
      <c r="D151" s="47" t="n"/>
      <c r="E151" s="47" t="n"/>
    </row>
    <row r="152">
      <c r="A152" s="46" t="n"/>
      <c r="B152" s="45" t="n"/>
      <c r="C152" s="48" t="n"/>
      <c r="D152" s="47" t="n"/>
      <c r="E152" s="47" t="n"/>
    </row>
    <row r="153">
      <c r="A153" s="46" t="n"/>
      <c r="B153" s="45" t="n"/>
      <c r="C153" s="48" t="n"/>
      <c r="D153" s="47" t="n"/>
      <c r="E153" s="47" t="n"/>
    </row>
    <row r="154">
      <c r="A154" s="46" t="n"/>
      <c r="B154" s="45" t="n"/>
      <c r="C154" s="48" t="n"/>
      <c r="D154" s="47" t="n"/>
      <c r="E154" s="47" t="n"/>
    </row>
    <row r="155">
      <c r="A155" s="46" t="n"/>
      <c r="B155" s="45" t="n"/>
      <c r="C155" s="48" t="n"/>
      <c r="D155" s="47" t="n"/>
      <c r="E155" s="47" t="n"/>
    </row>
    <row r="156">
      <c r="A156" s="46" t="n"/>
      <c r="B156" s="45" t="n"/>
      <c r="C156" s="48" t="n"/>
      <c r="D156" s="47" t="n"/>
      <c r="E156" s="47" t="n"/>
    </row>
    <row r="157">
      <c r="A157" s="46" t="n"/>
      <c r="B157" s="45" t="n"/>
      <c r="C157" s="48" t="n"/>
      <c r="D157" s="47" t="n"/>
      <c r="E157" s="47" t="n"/>
    </row>
    <row r="158">
      <c r="A158" s="46" t="n"/>
      <c r="B158" s="45" t="n"/>
      <c r="C158" s="48" t="n"/>
      <c r="D158" s="47" t="n"/>
      <c r="E158" s="47" t="n"/>
    </row>
    <row r="159">
      <c r="A159" s="46" t="n"/>
      <c r="B159" s="45" t="n"/>
      <c r="C159" s="48" t="n"/>
      <c r="D159" s="47" t="n"/>
      <c r="E159" s="47" t="n"/>
    </row>
    <row r="160">
      <c r="A160" s="46" t="n"/>
      <c r="B160" s="45" t="n"/>
      <c r="C160" s="48" t="n"/>
      <c r="D160" s="47" t="n"/>
      <c r="E160" s="47" t="n"/>
    </row>
    <row r="161">
      <c r="A161" s="46" t="n"/>
      <c r="B161" s="45" t="n"/>
      <c r="C161" s="48" t="n"/>
      <c r="D161" s="47" t="n"/>
      <c r="E161" s="47" t="n"/>
    </row>
    <row r="162">
      <c r="A162" s="46" t="n"/>
      <c r="B162" s="45" t="n"/>
      <c r="C162" s="48" t="n"/>
      <c r="D162" s="47" t="n"/>
      <c r="E162" s="47" t="n"/>
    </row>
    <row r="163">
      <c r="A163" s="46" t="n"/>
      <c r="B163" s="45" t="n"/>
      <c r="C163" s="48" t="n"/>
      <c r="D163" s="47" t="n"/>
      <c r="E163" s="47" t="n"/>
    </row>
    <row r="164">
      <c r="A164" s="46" t="n"/>
      <c r="B164" s="45" t="n"/>
      <c r="C164" s="48" t="n"/>
      <c r="D164" s="47" t="n"/>
      <c r="E164" s="47" t="n"/>
    </row>
    <row r="165">
      <c r="A165" s="46" t="n"/>
      <c r="B165" s="45" t="n"/>
      <c r="C165" s="48" t="n"/>
      <c r="D165" s="47" t="n"/>
      <c r="E165" s="47" t="n"/>
    </row>
    <row r="166">
      <c r="A166" s="46" t="n"/>
      <c r="B166" s="45" t="n"/>
      <c r="C166" s="48" t="n"/>
      <c r="D166" s="47" t="n"/>
      <c r="E166" s="47" t="n"/>
    </row>
    <row r="167">
      <c r="A167" s="46" t="n"/>
      <c r="B167" s="45" t="n"/>
      <c r="C167" s="48" t="n"/>
      <c r="D167" s="47" t="n"/>
      <c r="E167" s="47" t="n"/>
    </row>
    <row r="168">
      <c r="A168" s="46" t="n"/>
      <c r="B168" s="45" t="n"/>
      <c r="C168" s="48" t="n"/>
      <c r="D168" s="47" t="n"/>
      <c r="E168" s="47" t="n"/>
    </row>
    <row r="169">
      <c r="A169" s="46" t="n"/>
      <c r="B169" s="45" t="n"/>
      <c r="C169" s="48" t="n"/>
      <c r="D169" s="47" t="n"/>
      <c r="E169" s="47" t="n"/>
    </row>
    <row r="170">
      <c r="A170" s="46" t="n"/>
      <c r="B170" s="45" t="n"/>
      <c r="C170" s="48" t="n"/>
      <c r="D170" s="47" t="n"/>
      <c r="E170" s="47" t="n"/>
    </row>
    <row r="171">
      <c r="A171" s="46" t="n"/>
      <c r="B171" s="45" t="n"/>
      <c r="C171" s="48" t="n"/>
      <c r="D171" s="47" t="n"/>
      <c r="E171" s="47" t="n"/>
    </row>
    <row r="172">
      <c r="A172" s="46" t="n"/>
      <c r="B172" s="45" t="n"/>
      <c r="C172" s="48" t="n"/>
      <c r="D172" s="47" t="n"/>
      <c r="E172" s="47" t="n"/>
    </row>
    <row r="173">
      <c r="A173" s="46" t="n"/>
      <c r="B173" s="45" t="n"/>
      <c r="C173" s="48" t="n"/>
      <c r="D173" s="47" t="n"/>
      <c r="E173" s="47" t="n"/>
    </row>
    <row r="174">
      <c r="A174" s="46" t="n"/>
      <c r="B174" s="45" t="n"/>
      <c r="C174" s="48" t="n"/>
      <c r="D174" s="47" t="n"/>
      <c r="E174" s="47" t="n"/>
    </row>
    <row r="175">
      <c r="A175" s="46" t="n"/>
      <c r="B175" s="45" t="n"/>
      <c r="C175" s="48" t="n"/>
      <c r="D175" s="47" t="n"/>
      <c r="E175" s="47" t="n"/>
    </row>
    <row r="176">
      <c r="A176" s="46" t="n"/>
      <c r="B176" s="45" t="n"/>
      <c r="C176" s="48" t="n"/>
      <c r="D176" s="47" t="n"/>
      <c r="E176" s="47" t="n"/>
    </row>
    <row r="177">
      <c r="A177" s="46" t="n"/>
      <c r="B177" s="45" t="n"/>
      <c r="C177" s="48" t="n"/>
      <c r="D177" s="47" t="n"/>
      <c r="E177" s="47" t="n"/>
    </row>
    <row r="178">
      <c r="A178" s="46" t="n"/>
      <c r="B178" s="45" t="n"/>
      <c r="C178" s="48" t="n"/>
      <c r="D178" s="47" t="n"/>
      <c r="E178" s="47" t="n"/>
    </row>
    <row r="179">
      <c r="A179" s="46" t="n"/>
      <c r="B179" s="45" t="n"/>
      <c r="C179" s="48" t="n"/>
      <c r="D179" s="47" t="n"/>
      <c r="E179" s="47" t="n"/>
    </row>
    <row r="180">
      <c r="A180" s="46" t="n"/>
      <c r="B180" s="45" t="n"/>
      <c r="C180" s="48" t="n"/>
      <c r="D180" s="47" t="n"/>
      <c r="E180" s="47" t="n"/>
    </row>
    <row r="181">
      <c r="A181" s="46" t="n"/>
      <c r="B181" s="45" t="n"/>
      <c r="C181" s="48" t="n"/>
      <c r="D181" s="47" t="n"/>
      <c r="E181" s="47" t="n"/>
    </row>
    <row r="182">
      <c r="A182" s="46" t="n"/>
      <c r="B182" s="45" t="n"/>
      <c r="C182" s="48" t="n"/>
      <c r="D182" s="47" t="n"/>
      <c r="E182" s="47" t="n"/>
    </row>
    <row r="183">
      <c r="A183" s="46" t="n"/>
      <c r="B183" s="45" t="n"/>
      <c r="C183" s="48" t="n"/>
      <c r="D183" s="47" t="n"/>
      <c r="E183" s="47" t="n"/>
    </row>
    <row r="184">
      <c r="A184" s="46" t="n"/>
      <c r="B184" s="45" t="n"/>
      <c r="C184" s="48" t="n"/>
      <c r="D184" s="47" t="n"/>
      <c r="E184" s="47" t="n"/>
    </row>
    <row r="185">
      <c r="A185" s="46" t="n"/>
      <c r="B185" s="45" t="n"/>
      <c r="C185" s="48" t="n"/>
      <c r="D185" s="47" t="n"/>
      <c r="E185" s="47" t="n"/>
    </row>
    <row r="186">
      <c r="A186" s="46" t="n"/>
      <c r="B186" s="45" t="n"/>
      <c r="C186" s="48" t="n"/>
      <c r="D186" s="47" t="n"/>
      <c r="E186" s="47" t="n"/>
    </row>
    <row r="187">
      <c r="A187" s="46" t="n"/>
      <c r="B187" s="45" t="n"/>
      <c r="C187" s="48" t="n"/>
      <c r="D187" s="47" t="n"/>
      <c r="E187" s="47" t="n"/>
    </row>
    <row r="188">
      <c r="A188" s="46" t="n"/>
      <c r="B188" s="45" t="n"/>
      <c r="C188" s="48" t="n"/>
      <c r="D188" s="47" t="n"/>
      <c r="E188" s="47" t="n"/>
    </row>
    <row r="189">
      <c r="A189" s="46" t="n"/>
      <c r="B189" s="45" t="n"/>
      <c r="C189" s="48" t="n"/>
      <c r="D189" s="47" t="n"/>
      <c r="E189" s="47" t="n"/>
    </row>
    <row r="190">
      <c r="A190" s="46" t="n"/>
      <c r="B190" s="45" t="n"/>
      <c r="C190" s="48" t="n"/>
      <c r="D190" s="47" t="n"/>
      <c r="E190" s="47" t="n"/>
    </row>
    <row r="191">
      <c r="A191" s="46" t="n"/>
      <c r="B191" s="45" t="n"/>
      <c r="C191" s="48" t="n"/>
      <c r="D191" s="47" t="n"/>
      <c r="E191" s="47" t="n"/>
    </row>
    <row r="192">
      <c r="A192" s="46" t="n"/>
      <c r="B192" s="45" t="n"/>
      <c r="C192" s="48" t="n"/>
      <c r="D192" s="47" t="n"/>
      <c r="E192" s="47" t="n"/>
    </row>
    <row r="193">
      <c r="A193" s="46" t="n"/>
      <c r="B193" s="45" t="n"/>
      <c r="C193" s="48" t="n"/>
      <c r="D193" s="47" t="n"/>
      <c r="E193" s="47" t="n"/>
    </row>
    <row r="194">
      <c r="A194" s="46" t="n"/>
      <c r="B194" s="45" t="n"/>
      <c r="C194" s="48" t="n"/>
      <c r="D194" s="47" t="n"/>
      <c r="E194" s="47" t="n"/>
    </row>
    <row r="195">
      <c r="A195" s="46" t="n"/>
      <c r="B195" s="45" t="n"/>
      <c r="C195" s="48" t="n"/>
      <c r="D195" s="47" t="n"/>
      <c r="E195" s="47" t="n"/>
    </row>
    <row r="196">
      <c r="A196" s="46" t="n"/>
      <c r="B196" s="45" t="n"/>
      <c r="C196" s="48" t="n"/>
      <c r="D196" s="47" t="n"/>
      <c r="E196" s="47" t="n"/>
    </row>
    <row r="197">
      <c r="A197" s="46" t="n"/>
      <c r="B197" s="45" t="n"/>
      <c r="C197" s="48" t="n"/>
      <c r="D197" s="47" t="n"/>
      <c r="E197" s="47" t="n"/>
    </row>
    <row r="198">
      <c r="A198" s="46" t="n"/>
      <c r="B198" s="45" t="n"/>
      <c r="C198" s="48" t="n"/>
      <c r="D198" s="47" t="n"/>
      <c r="E198" s="47" t="n"/>
    </row>
    <row r="199">
      <c r="A199" s="46" t="n"/>
      <c r="B199" s="45" t="n"/>
      <c r="C199" s="48" t="n"/>
      <c r="D199" s="47" t="n"/>
      <c r="E199" s="47" t="n"/>
    </row>
    <row r="200">
      <c r="A200" s="46" t="n"/>
      <c r="B200" s="45" t="n"/>
      <c r="C200" s="48" t="n"/>
      <c r="D200" s="47" t="n"/>
      <c r="E200" s="47" t="n"/>
    </row>
    <row r="201">
      <c r="A201" s="46" t="n"/>
      <c r="B201" s="45" t="n"/>
      <c r="C201" s="48" t="n"/>
      <c r="D201" s="47" t="n"/>
      <c r="E201" s="47" t="n"/>
    </row>
    <row r="202">
      <c r="A202" s="6" t="inlineStr">
        <is>
          <t>SOMMATION</t>
        </is>
      </c>
      <c r="B202" s="7" t="n"/>
      <c r="C202" s="8">
        <f>SUM(C2:C201)</f>
        <v/>
      </c>
      <c r="D202" s="8">
        <f>SUM(D2:D201)</f>
        <v/>
      </c>
      <c r="E202" s="8">
        <f>SUM(E2:E201)</f>
        <v/>
      </c>
    </row>
  </sheetData>
  <dataValidations count="1">
    <dataValidation sqref="B2:B201" showDropDown="0" showInputMessage="0" showErrorMessage="0" allowBlank="1" type="list">
      <formula1>=Paramètres!$A$4:$A$8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 ht="22" customHeight="1">
      <c r="A1" s="44" t="inlineStr">
        <is>
          <t>Date</t>
        </is>
      </c>
      <c r="B1" s="44" t="inlineStr">
        <is>
          <t>Montant USD</t>
        </is>
      </c>
      <c r="C1" s="44" t="inlineStr">
        <is>
          <t>Montant CDF</t>
        </is>
      </c>
    </row>
    <row r="2">
      <c r="A2" s="46" t="n"/>
      <c r="B2" s="47" t="n"/>
      <c r="C2" s="47" t="n"/>
    </row>
    <row r="3">
      <c r="A3" s="46" t="n"/>
      <c r="B3" s="47" t="n"/>
      <c r="C3" s="47" t="n"/>
    </row>
    <row r="4">
      <c r="A4" s="46" t="n"/>
      <c r="B4" s="47" t="n"/>
      <c r="C4" s="47" t="n"/>
    </row>
    <row r="5">
      <c r="A5" s="46" t="n"/>
      <c r="B5" s="47" t="n"/>
      <c r="C5" s="47" t="n"/>
    </row>
    <row r="6">
      <c r="A6" s="46" t="n"/>
      <c r="B6" s="47" t="n"/>
      <c r="C6" s="47" t="n"/>
    </row>
    <row r="7">
      <c r="A7" s="46" t="n"/>
      <c r="B7" s="47" t="n"/>
      <c r="C7" s="47" t="n"/>
    </row>
    <row r="8">
      <c r="A8" s="46" t="n"/>
      <c r="B8" s="47" t="n"/>
      <c r="C8" s="47" t="n"/>
    </row>
    <row r="9">
      <c r="A9" s="46" t="n"/>
      <c r="B9" s="47" t="n"/>
      <c r="C9" s="47" t="n"/>
    </row>
    <row r="10">
      <c r="A10" s="46" t="n"/>
      <c r="B10" s="47" t="n"/>
      <c r="C10" s="47" t="n"/>
    </row>
    <row r="11">
      <c r="A11" s="46" t="n"/>
      <c r="B11" s="47" t="n"/>
      <c r="C11" s="47" t="n"/>
    </row>
    <row r="12">
      <c r="A12" s="46" t="n"/>
      <c r="B12" s="47" t="n"/>
      <c r="C12" s="47" t="n"/>
    </row>
    <row r="13">
      <c r="A13" s="46" t="n"/>
      <c r="B13" s="47" t="n"/>
      <c r="C13" s="47" t="n"/>
    </row>
    <row r="14">
      <c r="A14" s="46" t="n"/>
      <c r="B14" s="47" t="n"/>
      <c r="C14" s="47" t="n"/>
    </row>
    <row r="15">
      <c r="A15" s="46" t="n"/>
      <c r="B15" s="47" t="n"/>
      <c r="C15" s="47" t="n"/>
    </row>
    <row r="16">
      <c r="A16" s="46" t="n"/>
      <c r="B16" s="47" t="n"/>
      <c r="C16" s="47" t="n"/>
    </row>
    <row r="17">
      <c r="A17" s="46" t="n"/>
      <c r="B17" s="47" t="n"/>
      <c r="C17" s="47" t="n"/>
    </row>
    <row r="18">
      <c r="A18" s="46" t="n"/>
      <c r="B18" s="47" t="n"/>
      <c r="C18" s="47" t="n"/>
    </row>
    <row r="19">
      <c r="A19" s="46" t="n"/>
      <c r="B19" s="47" t="n"/>
      <c r="C19" s="47" t="n"/>
    </row>
    <row r="20">
      <c r="A20" s="46" t="n"/>
      <c r="B20" s="47" t="n"/>
      <c r="C20" s="47" t="n"/>
    </row>
    <row r="21">
      <c r="A21" s="46" t="n"/>
      <c r="B21" s="47" t="n"/>
      <c r="C21" s="47" t="n"/>
    </row>
    <row r="22">
      <c r="A22" s="46" t="n"/>
      <c r="B22" s="47" t="n"/>
      <c r="C22" s="47" t="n"/>
    </row>
    <row r="23">
      <c r="A23" s="46" t="n"/>
      <c r="B23" s="47" t="n"/>
      <c r="C23" s="47" t="n"/>
    </row>
    <row r="24">
      <c r="A24" s="46" t="n"/>
      <c r="B24" s="47" t="n"/>
      <c r="C24" s="47" t="n"/>
    </row>
    <row r="25">
      <c r="A25" s="46" t="n"/>
      <c r="B25" s="47" t="n"/>
      <c r="C25" s="47" t="n"/>
    </row>
    <row r="26">
      <c r="A26" s="46" t="n"/>
      <c r="B26" s="47" t="n"/>
      <c r="C26" s="47" t="n"/>
    </row>
    <row r="27">
      <c r="A27" s="46" t="n"/>
      <c r="B27" s="47" t="n"/>
      <c r="C27" s="47" t="n"/>
    </row>
    <row r="28">
      <c r="A28" s="46" t="n"/>
      <c r="B28" s="47" t="n"/>
      <c r="C28" s="47" t="n"/>
    </row>
    <row r="29">
      <c r="A29" s="46" t="n"/>
      <c r="B29" s="47" t="n"/>
      <c r="C29" s="47" t="n"/>
    </row>
    <row r="30">
      <c r="A30" s="46" t="n"/>
      <c r="B30" s="47" t="n"/>
      <c r="C30" s="47" t="n"/>
    </row>
    <row r="31">
      <c r="A31" s="46" t="n"/>
      <c r="B31" s="47" t="n"/>
      <c r="C31" s="47" t="n"/>
    </row>
    <row r="32">
      <c r="A32" s="46" t="n"/>
      <c r="B32" s="47" t="n"/>
      <c r="C32" s="47" t="n"/>
    </row>
    <row r="33">
      <c r="A33" s="46" t="n"/>
      <c r="B33" s="47" t="n"/>
      <c r="C33" s="47" t="n"/>
    </row>
    <row r="34">
      <c r="A34" s="46" t="n"/>
      <c r="B34" s="47" t="n"/>
      <c r="C34" s="47" t="n"/>
    </row>
    <row r="35">
      <c r="A35" s="46" t="n"/>
      <c r="B35" s="47" t="n"/>
      <c r="C35" s="47" t="n"/>
    </row>
    <row r="36">
      <c r="A36" s="46" t="n"/>
      <c r="B36" s="47" t="n"/>
      <c r="C36" s="47" t="n"/>
    </row>
    <row r="37">
      <c r="A37" s="46" t="n"/>
      <c r="B37" s="47" t="n"/>
      <c r="C37" s="47" t="n"/>
    </row>
    <row r="38">
      <c r="A38" s="46" t="n"/>
      <c r="B38" s="47" t="n"/>
      <c r="C38" s="47" t="n"/>
    </row>
    <row r="39">
      <c r="A39" s="46" t="n"/>
      <c r="B39" s="47" t="n"/>
      <c r="C39" s="47" t="n"/>
    </row>
    <row r="40">
      <c r="A40" s="46" t="n"/>
      <c r="B40" s="47" t="n"/>
      <c r="C40" s="47" t="n"/>
    </row>
    <row r="41">
      <c r="A41" s="46" t="n"/>
      <c r="B41" s="47" t="n"/>
      <c r="C41" s="47" t="n"/>
    </row>
    <row r="42">
      <c r="A42" s="46" t="n"/>
      <c r="B42" s="47" t="n"/>
      <c r="C42" s="47" t="n"/>
    </row>
    <row r="43">
      <c r="A43" s="46" t="n"/>
      <c r="B43" s="47" t="n"/>
      <c r="C43" s="47" t="n"/>
    </row>
    <row r="44">
      <c r="A44" s="46" t="n"/>
      <c r="B44" s="47" t="n"/>
      <c r="C44" s="47" t="n"/>
    </row>
    <row r="45">
      <c r="A45" s="46" t="n"/>
      <c r="B45" s="47" t="n"/>
      <c r="C45" s="47" t="n"/>
    </row>
    <row r="46">
      <c r="A46" s="46" t="n"/>
      <c r="B46" s="47" t="n"/>
      <c r="C46" s="47" t="n"/>
    </row>
    <row r="47">
      <c r="A47" s="46" t="n"/>
      <c r="B47" s="47" t="n"/>
      <c r="C47" s="47" t="n"/>
    </row>
    <row r="48">
      <c r="A48" s="46" t="n"/>
      <c r="B48" s="47" t="n"/>
      <c r="C48" s="47" t="n"/>
    </row>
    <row r="49">
      <c r="A49" s="46" t="n"/>
      <c r="B49" s="47" t="n"/>
      <c r="C49" s="47" t="n"/>
    </row>
    <row r="50">
      <c r="A50" s="46" t="n"/>
      <c r="B50" s="47" t="n"/>
      <c r="C50" s="47" t="n"/>
    </row>
    <row r="51">
      <c r="A51" s="46" t="n"/>
      <c r="B51" s="47" t="n"/>
      <c r="C51" s="47" t="n"/>
    </row>
    <row r="52">
      <c r="A52" s="46" t="n"/>
      <c r="B52" s="47" t="n"/>
      <c r="C52" s="47" t="n"/>
    </row>
    <row r="53">
      <c r="A53" s="46" t="n"/>
      <c r="B53" s="47" t="n"/>
      <c r="C53" s="47" t="n"/>
    </row>
    <row r="54">
      <c r="A54" s="46" t="n"/>
      <c r="B54" s="47" t="n"/>
      <c r="C54" s="47" t="n"/>
    </row>
    <row r="55">
      <c r="A55" s="46" t="n"/>
      <c r="B55" s="47" t="n"/>
      <c r="C55" s="47" t="n"/>
    </row>
    <row r="56">
      <c r="A56" s="46" t="n"/>
      <c r="B56" s="47" t="n"/>
      <c r="C56" s="47" t="n"/>
    </row>
    <row r="57">
      <c r="A57" s="46" t="n"/>
      <c r="B57" s="47" t="n"/>
      <c r="C57" s="47" t="n"/>
    </row>
    <row r="58">
      <c r="A58" s="46" t="n"/>
      <c r="B58" s="47" t="n"/>
      <c r="C58" s="47" t="n"/>
    </row>
    <row r="59">
      <c r="A59" s="46" t="n"/>
      <c r="B59" s="47" t="n"/>
      <c r="C59" s="47" t="n"/>
    </row>
    <row r="60">
      <c r="A60" s="46" t="n"/>
      <c r="B60" s="47" t="n"/>
      <c r="C60" s="47" t="n"/>
    </row>
    <row r="61">
      <c r="A61" s="46" t="n"/>
      <c r="B61" s="47" t="n"/>
      <c r="C61" s="47" t="n"/>
    </row>
    <row r="62">
      <c r="A62" s="46" t="n"/>
      <c r="B62" s="47" t="n"/>
      <c r="C62" s="47" t="n"/>
    </row>
    <row r="63">
      <c r="A63" s="46" t="n"/>
      <c r="B63" s="47" t="n"/>
      <c r="C63" s="47" t="n"/>
    </row>
    <row r="64">
      <c r="A64" s="46" t="n"/>
      <c r="B64" s="47" t="n"/>
      <c r="C64" s="47" t="n"/>
    </row>
    <row r="65">
      <c r="A65" s="46" t="n"/>
      <c r="B65" s="47" t="n"/>
      <c r="C65" s="47" t="n"/>
    </row>
    <row r="66">
      <c r="A66" s="46" t="n"/>
      <c r="B66" s="47" t="n"/>
      <c r="C66" s="47" t="n"/>
    </row>
    <row r="67">
      <c r="A67" s="46" t="n"/>
      <c r="B67" s="47" t="n"/>
      <c r="C67" s="47" t="n"/>
    </row>
    <row r="68">
      <c r="A68" s="46" t="n"/>
      <c r="B68" s="47" t="n"/>
      <c r="C68" s="47" t="n"/>
    </row>
    <row r="69">
      <c r="A69" s="46" t="n"/>
      <c r="B69" s="47" t="n"/>
      <c r="C69" s="47" t="n"/>
    </row>
    <row r="70">
      <c r="A70" s="46" t="n"/>
      <c r="B70" s="47" t="n"/>
      <c r="C70" s="47" t="n"/>
    </row>
    <row r="71">
      <c r="A71" s="46" t="n"/>
      <c r="B71" s="47" t="n"/>
      <c r="C71" s="47" t="n"/>
    </row>
    <row r="72">
      <c r="A72" s="46" t="n"/>
      <c r="B72" s="47" t="n"/>
      <c r="C72" s="47" t="n"/>
    </row>
    <row r="73">
      <c r="A73" s="46" t="n"/>
      <c r="B73" s="47" t="n"/>
      <c r="C73" s="47" t="n"/>
    </row>
    <row r="74">
      <c r="A74" s="46" t="n"/>
      <c r="B74" s="47" t="n"/>
      <c r="C74" s="47" t="n"/>
    </row>
    <row r="75">
      <c r="A75" s="46" t="n"/>
      <c r="B75" s="47" t="n"/>
      <c r="C75" s="47" t="n"/>
    </row>
    <row r="76">
      <c r="A76" s="46" t="n"/>
      <c r="B76" s="47" t="n"/>
      <c r="C76" s="47" t="n"/>
    </row>
    <row r="77">
      <c r="A77" s="46" t="n"/>
      <c r="B77" s="47" t="n"/>
      <c r="C77" s="47" t="n"/>
    </row>
    <row r="78">
      <c r="A78" s="46" t="n"/>
      <c r="B78" s="47" t="n"/>
      <c r="C78" s="47" t="n"/>
    </row>
    <row r="79">
      <c r="A79" s="46" t="n"/>
      <c r="B79" s="47" t="n"/>
      <c r="C79" s="47" t="n"/>
    </row>
    <row r="80">
      <c r="A80" s="46" t="n"/>
      <c r="B80" s="47" t="n"/>
      <c r="C80" s="47" t="n"/>
    </row>
    <row r="81">
      <c r="A81" s="46" t="n"/>
      <c r="B81" s="47" t="n"/>
      <c r="C81" s="47" t="n"/>
    </row>
    <row r="82">
      <c r="A82" s="46" t="n"/>
      <c r="B82" s="47" t="n"/>
      <c r="C82" s="47" t="n"/>
    </row>
    <row r="83">
      <c r="A83" s="46" t="n"/>
      <c r="B83" s="47" t="n"/>
      <c r="C83" s="47" t="n"/>
    </row>
    <row r="84">
      <c r="A84" s="46" t="n"/>
      <c r="B84" s="47" t="n"/>
      <c r="C84" s="47" t="n"/>
    </row>
    <row r="85">
      <c r="A85" s="46" t="n"/>
      <c r="B85" s="47" t="n"/>
      <c r="C85" s="47" t="n"/>
    </row>
    <row r="86">
      <c r="A86" s="46" t="n"/>
      <c r="B86" s="47" t="n"/>
      <c r="C86" s="47" t="n"/>
    </row>
    <row r="87">
      <c r="A87" s="46" t="n"/>
      <c r="B87" s="47" t="n"/>
      <c r="C87" s="47" t="n"/>
    </row>
    <row r="88">
      <c r="A88" s="46" t="n"/>
      <c r="B88" s="47" t="n"/>
      <c r="C88" s="47" t="n"/>
    </row>
    <row r="89">
      <c r="A89" s="46" t="n"/>
      <c r="B89" s="47" t="n"/>
      <c r="C89" s="47" t="n"/>
    </row>
    <row r="90">
      <c r="A90" s="46" t="n"/>
      <c r="B90" s="47" t="n"/>
      <c r="C90" s="47" t="n"/>
    </row>
    <row r="91">
      <c r="A91" s="46" t="n"/>
      <c r="B91" s="47" t="n"/>
      <c r="C91" s="47" t="n"/>
    </row>
    <row r="92">
      <c r="A92" s="46" t="n"/>
      <c r="B92" s="47" t="n"/>
      <c r="C92" s="47" t="n"/>
    </row>
    <row r="93">
      <c r="A93" s="46" t="n"/>
      <c r="B93" s="47" t="n"/>
      <c r="C93" s="47" t="n"/>
    </row>
    <row r="94">
      <c r="A94" s="46" t="n"/>
      <c r="B94" s="47" t="n"/>
      <c r="C94" s="47" t="n"/>
    </row>
    <row r="95">
      <c r="A95" s="46" t="n"/>
      <c r="B95" s="47" t="n"/>
      <c r="C95" s="47" t="n"/>
    </row>
    <row r="96">
      <c r="A96" s="46" t="n"/>
      <c r="B96" s="47" t="n"/>
      <c r="C96" s="47" t="n"/>
    </row>
    <row r="97">
      <c r="A97" s="46" t="n"/>
      <c r="B97" s="47" t="n"/>
      <c r="C97" s="47" t="n"/>
    </row>
    <row r="98">
      <c r="A98" s="46" t="n"/>
      <c r="B98" s="47" t="n"/>
      <c r="C98" s="47" t="n"/>
    </row>
    <row r="99">
      <c r="A99" s="46" t="n"/>
      <c r="B99" s="47" t="n"/>
      <c r="C99" s="47" t="n"/>
    </row>
    <row r="100">
      <c r="A100" s="46" t="n"/>
      <c r="B100" s="47" t="n"/>
      <c r="C100" s="47" t="n"/>
    </row>
    <row r="101">
      <c r="A101" s="46" t="n"/>
      <c r="B101" s="47" t="n"/>
      <c r="C101" s="47" t="n"/>
    </row>
    <row r="102">
      <c r="A102" s="46" t="n"/>
      <c r="B102" s="47" t="n"/>
      <c r="C102" s="47" t="n"/>
    </row>
    <row r="103">
      <c r="A103" s="46" t="n"/>
      <c r="B103" s="47" t="n"/>
      <c r="C103" s="47" t="n"/>
    </row>
    <row r="104">
      <c r="A104" s="46" t="n"/>
      <c r="B104" s="47" t="n"/>
      <c r="C104" s="47" t="n"/>
    </row>
    <row r="105">
      <c r="A105" s="46" t="n"/>
      <c r="B105" s="47" t="n"/>
      <c r="C105" s="47" t="n"/>
    </row>
    <row r="106">
      <c r="A106" s="46" t="n"/>
      <c r="B106" s="47" t="n"/>
      <c r="C106" s="47" t="n"/>
    </row>
    <row r="107">
      <c r="A107" s="46" t="n"/>
      <c r="B107" s="47" t="n"/>
      <c r="C107" s="47" t="n"/>
    </row>
    <row r="108">
      <c r="A108" s="46" t="n"/>
      <c r="B108" s="47" t="n"/>
      <c r="C108" s="47" t="n"/>
    </row>
    <row r="109">
      <c r="A109" s="46" t="n"/>
      <c r="B109" s="47" t="n"/>
      <c r="C109" s="47" t="n"/>
    </row>
    <row r="110">
      <c r="A110" s="46" t="n"/>
      <c r="B110" s="47" t="n"/>
      <c r="C110" s="47" t="n"/>
    </row>
    <row r="111">
      <c r="A111" s="46" t="n"/>
      <c r="B111" s="47" t="n"/>
      <c r="C111" s="47" t="n"/>
    </row>
    <row r="112">
      <c r="A112" s="46" t="n"/>
      <c r="B112" s="47" t="n"/>
      <c r="C112" s="47" t="n"/>
    </row>
    <row r="113">
      <c r="A113" s="46" t="n"/>
      <c r="B113" s="47" t="n"/>
      <c r="C113" s="47" t="n"/>
    </row>
    <row r="114">
      <c r="A114" s="46" t="n"/>
      <c r="B114" s="47" t="n"/>
      <c r="C114" s="47" t="n"/>
    </row>
    <row r="115">
      <c r="A115" s="46" t="n"/>
      <c r="B115" s="47" t="n"/>
      <c r="C115" s="47" t="n"/>
    </row>
    <row r="116">
      <c r="A116" s="46" t="n"/>
      <c r="B116" s="47" t="n"/>
      <c r="C116" s="47" t="n"/>
    </row>
    <row r="117">
      <c r="A117" s="46" t="n"/>
      <c r="B117" s="47" t="n"/>
      <c r="C117" s="47" t="n"/>
    </row>
    <row r="118">
      <c r="A118" s="46" t="n"/>
      <c r="B118" s="47" t="n"/>
      <c r="C118" s="47" t="n"/>
    </row>
    <row r="119">
      <c r="A119" s="46" t="n"/>
      <c r="B119" s="47" t="n"/>
      <c r="C119" s="47" t="n"/>
    </row>
    <row r="120">
      <c r="A120" s="46" t="n"/>
      <c r="B120" s="47" t="n"/>
      <c r="C120" s="47" t="n"/>
    </row>
    <row r="121">
      <c r="A121" s="46" t="n"/>
      <c r="B121" s="47" t="n"/>
      <c r="C121" s="47" t="n"/>
    </row>
    <row r="122">
      <c r="A122" s="46" t="n"/>
      <c r="B122" s="47" t="n"/>
      <c r="C122" s="47" t="n"/>
    </row>
    <row r="123">
      <c r="A123" s="46" t="n"/>
      <c r="B123" s="47" t="n"/>
      <c r="C123" s="47" t="n"/>
    </row>
    <row r="124">
      <c r="A124" s="46" t="n"/>
      <c r="B124" s="47" t="n"/>
      <c r="C124" s="47" t="n"/>
    </row>
    <row r="125">
      <c r="A125" s="46" t="n"/>
      <c r="B125" s="47" t="n"/>
      <c r="C125" s="47" t="n"/>
    </row>
    <row r="126">
      <c r="A126" s="46" t="n"/>
      <c r="B126" s="47" t="n"/>
      <c r="C126" s="47" t="n"/>
    </row>
    <row r="127">
      <c r="A127" s="46" t="n"/>
      <c r="B127" s="47" t="n"/>
      <c r="C127" s="47" t="n"/>
    </row>
    <row r="128">
      <c r="A128" s="46" t="n"/>
      <c r="B128" s="47" t="n"/>
      <c r="C128" s="47" t="n"/>
    </row>
    <row r="129">
      <c r="A129" s="46" t="n"/>
      <c r="B129" s="47" t="n"/>
      <c r="C129" s="47" t="n"/>
    </row>
    <row r="130">
      <c r="A130" s="46" t="n"/>
      <c r="B130" s="47" t="n"/>
      <c r="C130" s="47" t="n"/>
    </row>
    <row r="131">
      <c r="A131" s="46" t="n"/>
      <c r="B131" s="47" t="n"/>
      <c r="C131" s="47" t="n"/>
    </row>
    <row r="132">
      <c r="A132" s="46" t="n"/>
      <c r="B132" s="47" t="n"/>
      <c r="C132" s="47" t="n"/>
    </row>
    <row r="133">
      <c r="A133" s="46" t="n"/>
      <c r="B133" s="47" t="n"/>
      <c r="C133" s="47" t="n"/>
    </row>
    <row r="134">
      <c r="A134" s="46" t="n"/>
      <c r="B134" s="47" t="n"/>
      <c r="C134" s="47" t="n"/>
    </row>
    <row r="135">
      <c r="A135" s="46" t="n"/>
      <c r="B135" s="47" t="n"/>
      <c r="C135" s="47" t="n"/>
    </row>
    <row r="136">
      <c r="A136" s="46" t="n"/>
      <c r="B136" s="47" t="n"/>
      <c r="C136" s="47" t="n"/>
    </row>
    <row r="137">
      <c r="A137" s="46" t="n"/>
      <c r="B137" s="47" t="n"/>
      <c r="C137" s="47" t="n"/>
    </row>
    <row r="138">
      <c r="A138" s="46" t="n"/>
      <c r="B138" s="47" t="n"/>
      <c r="C138" s="47" t="n"/>
    </row>
    <row r="139">
      <c r="A139" s="46" t="n"/>
      <c r="B139" s="47" t="n"/>
      <c r="C139" s="47" t="n"/>
    </row>
    <row r="140">
      <c r="A140" s="46" t="n"/>
      <c r="B140" s="47" t="n"/>
      <c r="C140" s="47" t="n"/>
    </row>
    <row r="141">
      <c r="A141" s="46" t="n"/>
      <c r="B141" s="47" t="n"/>
      <c r="C141" s="47" t="n"/>
    </row>
    <row r="142">
      <c r="A142" s="46" t="n"/>
      <c r="B142" s="47" t="n"/>
      <c r="C142" s="47" t="n"/>
    </row>
    <row r="143">
      <c r="A143" s="46" t="n"/>
      <c r="B143" s="47" t="n"/>
      <c r="C143" s="47" t="n"/>
    </row>
    <row r="144">
      <c r="A144" s="46" t="n"/>
      <c r="B144" s="47" t="n"/>
      <c r="C144" s="47" t="n"/>
    </row>
    <row r="145">
      <c r="A145" s="46" t="n"/>
      <c r="B145" s="47" t="n"/>
      <c r="C145" s="47" t="n"/>
    </row>
    <row r="146">
      <c r="A146" s="46" t="n"/>
      <c r="B146" s="47" t="n"/>
      <c r="C146" s="47" t="n"/>
    </row>
    <row r="147">
      <c r="A147" s="46" t="n"/>
      <c r="B147" s="47" t="n"/>
      <c r="C147" s="47" t="n"/>
    </row>
    <row r="148">
      <c r="A148" s="46" t="n"/>
      <c r="B148" s="47" t="n"/>
      <c r="C148" s="47" t="n"/>
    </row>
    <row r="149">
      <c r="A149" s="46" t="n"/>
      <c r="B149" s="47" t="n"/>
      <c r="C149" s="47" t="n"/>
    </row>
    <row r="150">
      <c r="A150" s="46" t="n"/>
      <c r="B150" s="47" t="n"/>
      <c r="C150" s="47" t="n"/>
    </row>
    <row r="151">
      <c r="A151" s="46" t="n"/>
      <c r="B151" s="47" t="n"/>
      <c r="C151" s="47" t="n"/>
    </row>
    <row r="152">
      <c r="A152" s="46" t="n"/>
      <c r="B152" s="47" t="n"/>
      <c r="C152" s="47" t="n"/>
    </row>
    <row r="153">
      <c r="A153" s="46" t="n"/>
      <c r="B153" s="47" t="n"/>
      <c r="C153" s="47" t="n"/>
    </row>
    <row r="154">
      <c r="A154" s="46" t="n"/>
      <c r="B154" s="47" t="n"/>
      <c r="C154" s="47" t="n"/>
    </row>
    <row r="155">
      <c r="A155" s="46" t="n"/>
      <c r="B155" s="47" t="n"/>
      <c r="C155" s="47" t="n"/>
    </row>
    <row r="156">
      <c r="A156" s="46" t="n"/>
      <c r="B156" s="47" t="n"/>
      <c r="C156" s="47" t="n"/>
    </row>
    <row r="157">
      <c r="A157" s="46" t="n"/>
      <c r="B157" s="47" t="n"/>
      <c r="C157" s="47" t="n"/>
    </row>
    <row r="158">
      <c r="A158" s="46" t="n"/>
      <c r="B158" s="47" t="n"/>
      <c r="C158" s="47" t="n"/>
    </row>
    <row r="159">
      <c r="A159" s="46" t="n"/>
      <c r="B159" s="47" t="n"/>
      <c r="C159" s="47" t="n"/>
    </row>
    <row r="160">
      <c r="A160" s="46" t="n"/>
      <c r="B160" s="47" t="n"/>
      <c r="C160" s="47" t="n"/>
    </row>
    <row r="161">
      <c r="A161" s="46" t="n"/>
      <c r="B161" s="47" t="n"/>
      <c r="C161" s="47" t="n"/>
    </row>
    <row r="162">
      <c r="A162" s="46" t="n"/>
      <c r="B162" s="47" t="n"/>
      <c r="C162" s="47" t="n"/>
    </row>
    <row r="163">
      <c r="A163" s="46" t="n"/>
      <c r="B163" s="47" t="n"/>
      <c r="C163" s="47" t="n"/>
    </row>
    <row r="164">
      <c r="A164" s="46" t="n"/>
      <c r="B164" s="47" t="n"/>
      <c r="C164" s="47" t="n"/>
    </row>
    <row r="165">
      <c r="A165" s="46" t="n"/>
      <c r="B165" s="47" t="n"/>
      <c r="C165" s="47" t="n"/>
    </row>
    <row r="166">
      <c r="A166" s="46" t="n"/>
      <c r="B166" s="47" t="n"/>
      <c r="C166" s="47" t="n"/>
    </row>
    <row r="167">
      <c r="A167" s="46" t="n"/>
      <c r="B167" s="47" t="n"/>
      <c r="C167" s="47" t="n"/>
    </row>
    <row r="168">
      <c r="A168" s="46" t="n"/>
      <c r="B168" s="47" t="n"/>
      <c r="C168" s="47" t="n"/>
    </row>
    <row r="169">
      <c r="A169" s="46" t="n"/>
      <c r="B169" s="47" t="n"/>
      <c r="C169" s="47" t="n"/>
    </row>
    <row r="170">
      <c r="A170" s="46" t="n"/>
      <c r="B170" s="47" t="n"/>
      <c r="C170" s="47" t="n"/>
    </row>
    <row r="171">
      <c r="A171" s="46" t="n"/>
      <c r="B171" s="47" t="n"/>
      <c r="C171" s="47" t="n"/>
    </row>
    <row r="172">
      <c r="A172" s="46" t="n"/>
      <c r="B172" s="47" t="n"/>
      <c r="C172" s="47" t="n"/>
    </row>
    <row r="173">
      <c r="A173" s="46" t="n"/>
      <c r="B173" s="47" t="n"/>
      <c r="C173" s="47" t="n"/>
    </row>
    <row r="174">
      <c r="A174" s="46" t="n"/>
      <c r="B174" s="47" t="n"/>
      <c r="C174" s="47" t="n"/>
    </row>
    <row r="175">
      <c r="A175" s="46" t="n"/>
      <c r="B175" s="47" t="n"/>
      <c r="C175" s="47" t="n"/>
    </row>
    <row r="176">
      <c r="A176" s="46" t="n"/>
      <c r="B176" s="47" t="n"/>
      <c r="C176" s="47" t="n"/>
    </row>
    <row r="177">
      <c r="A177" s="46" t="n"/>
      <c r="B177" s="47" t="n"/>
      <c r="C177" s="47" t="n"/>
    </row>
    <row r="178">
      <c r="A178" s="46" t="n"/>
      <c r="B178" s="47" t="n"/>
      <c r="C178" s="47" t="n"/>
    </row>
    <row r="179">
      <c r="A179" s="46" t="n"/>
      <c r="B179" s="47" t="n"/>
      <c r="C179" s="47" t="n"/>
    </row>
    <row r="180">
      <c r="A180" s="46" t="n"/>
      <c r="B180" s="47" t="n"/>
      <c r="C180" s="47" t="n"/>
    </row>
    <row r="181">
      <c r="A181" s="46" t="n"/>
      <c r="B181" s="47" t="n"/>
      <c r="C181" s="47" t="n"/>
    </row>
    <row r="182">
      <c r="A182" s="46" t="n"/>
      <c r="B182" s="47" t="n"/>
      <c r="C182" s="47" t="n"/>
    </row>
    <row r="183">
      <c r="A183" s="46" t="n"/>
      <c r="B183" s="47" t="n"/>
      <c r="C183" s="47" t="n"/>
    </row>
    <row r="184">
      <c r="A184" s="46" t="n"/>
      <c r="B184" s="47" t="n"/>
      <c r="C184" s="47" t="n"/>
    </row>
    <row r="185">
      <c r="A185" s="46" t="n"/>
      <c r="B185" s="47" t="n"/>
      <c r="C185" s="47" t="n"/>
    </row>
    <row r="186">
      <c r="A186" s="46" t="n"/>
      <c r="B186" s="47" t="n"/>
      <c r="C186" s="47" t="n"/>
    </row>
    <row r="187">
      <c r="A187" s="46" t="n"/>
      <c r="B187" s="47" t="n"/>
      <c r="C187" s="47" t="n"/>
    </row>
    <row r="188">
      <c r="A188" s="46" t="n"/>
      <c r="B188" s="47" t="n"/>
      <c r="C188" s="47" t="n"/>
    </row>
    <row r="189">
      <c r="A189" s="46" t="n"/>
      <c r="B189" s="47" t="n"/>
      <c r="C189" s="47" t="n"/>
    </row>
    <row r="190">
      <c r="A190" s="46" t="n"/>
      <c r="B190" s="47" t="n"/>
      <c r="C190" s="47" t="n"/>
    </row>
    <row r="191">
      <c r="A191" s="46" t="n"/>
      <c r="B191" s="47" t="n"/>
      <c r="C191" s="47" t="n"/>
    </row>
    <row r="192">
      <c r="A192" s="46" t="n"/>
      <c r="B192" s="47" t="n"/>
      <c r="C192" s="47" t="n"/>
    </row>
    <row r="193">
      <c r="A193" s="46" t="n"/>
      <c r="B193" s="47" t="n"/>
      <c r="C193" s="47" t="n"/>
    </row>
    <row r="194">
      <c r="A194" s="46" t="n"/>
      <c r="B194" s="47" t="n"/>
      <c r="C194" s="47" t="n"/>
    </row>
    <row r="195">
      <c r="A195" s="46" t="n"/>
      <c r="B195" s="47" t="n"/>
      <c r="C195" s="47" t="n"/>
    </row>
    <row r="196">
      <c r="A196" s="46" t="n"/>
      <c r="B196" s="47" t="n"/>
      <c r="C196" s="47" t="n"/>
    </row>
    <row r="197">
      <c r="A197" s="46" t="n"/>
      <c r="B197" s="47" t="n"/>
      <c r="C197" s="47" t="n"/>
    </row>
    <row r="198">
      <c r="A198" s="46" t="n"/>
      <c r="B198" s="47" t="n"/>
      <c r="C198" s="47" t="n"/>
    </row>
    <row r="199">
      <c r="A199" s="46" t="n"/>
      <c r="B199" s="47" t="n"/>
      <c r="C199" s="47" t="n"/>
    </row>
    <row r="200">
      <c r="A200" s="46" t="n"/>
      <c r="B200" s="47" t="n"/>
      <c r="C200" s="47" t="n"/>
    </row>
    <row r="201">
      <c r="A201" s="46" t="n"/>
      <c r="B201" s="47" t="n"/>
      <c r="C201" s="47" t="n"/>
    </row>
    <row r="202">
      <c r="A202" s="46" t="n"/>
      <c r="B202" s="47" t="n"/>
      <c r="C202" s="47" t="n"/>
    </row>
    <row r="203">
      <c r="A203" s="46" t="n"/>
      <c r="B203" s="47" t="n"/>
      <c r="C203" s="47" t="n"/>
    </row>
    <row r="204">
      <c r="A204" s="46" t="n"/>
      <c r="B204" s="47" t="n"/>
      <c r="C204" s="47" t="n"/>
    </row>
    <row r="205">
      <c r="A205" s="46" t="n"/>
      <c r="B205" s="47" t="n"/>
      <c r="C205" s="47" t="n"/>
    </row>
    <row r="206">
      <c r="A206" s="46" t="n"/>
      <c r="B206" s="47" t="n"/>
      <c r="C206" s="47" t="n"/>
    </row>
    <row r="207">
      <c r="A207" s="46" t="n"/>
      <c r="B207" s="47" t="n"/>
      <c r="C207" s="47" t="n"/>
    </row>
    <row r="208">
      <c r="A208" s="46" t="n"/>
      <c r="B208" s="47" t="n"/>
      <c r="C208" s="47" t="n"/>
    </row>
    <row r="209">
      <c r="A209" s="46" t="n"/>
      <c r="B209" s="47" t="n"/>
      <c r="C209" s="47" t="n"/>
    </row>
    <row r="210">
      <c r="A210" s="46" t="n"/>
      <c r="B210" s="47" t="n"/>
      <c r="C210" s="47" t="n"/>
    </row>
    <row r="211">
      <c r="A211" s="46" t="n"/>
      <c r="B211" s="47" t="n"/>
      <c r="C211" s="47" t="n"/>
    </row>
    <row r="212">
      <c r="A212" s="46" t="n"/>
      <c r="B212" s="47" t="n"/>
      <c r="C212" s="47" t="n"/>
    </row>
    <row r="213">
      <c r="A213" s="46" t="n"/>
      <c r="B213" s="47" t="n"/>
      <c r="C213" s="47" t="n"/>
    </row>
    <row r="214">
      <c r="A214" s="46" t="n"/>
      <c r="B214" s="47" t="n"/>
      <c r="C214" s="47" t="n"/>
    </row>
    <row r="215">
      <c r="A215" s="46" t="n"/>
      <c r="B215" s="47" t="n"/>
      <c r="C215" s="47" t="n"/>
    </row>
    <row r="216">
      <c r="A216" s="46" t="n"/>
      <c r="B216" s="47" t="n"/>
      <c r="C216" s="47" t="n"/>
    </row>
    <row r="217">
      <c r="A217" s="46" t="n"/>
      <c r="B217" s="47" t="n"/>
      <c r="C217" s="47" t="n"/>
    </row>
    <row r="218">
      <c r="A218" s="46" t="n"/>
      <c r="B218" s="47" t="n"/>
      <c r="C218" s="47" t="n"/>
    </row>
    <row r="219">
      <c r="A219" s="46" t="n"/>
      <c r="B219" s="47" t="n"/>
      <c r="C219" s="47" t="n"/>
    </row>
    <row r="220">
      <c r="A220" s="46" t="n"/>
      <c r="B220" s="47" t="n"/>
      <c r="C220" s="47" t="n"/>
    </row>
    <row r="221">
      <c r="A221" s="46" t="n"/>
      <c r="B221" s="47" t="n"/>
      <c r="C221" s="47" t="n"/>
    </row>
    <row r="222">
      <c r="A222" s="46" t="n"/>
      <c r="B222" s="47" t="n"/>
      <c r="C222" s="47" t="n"/>
    </row>
    <row r="223">
      <c r="A223" s="46" t="n"/>
      <c r="B223" s="47" t="n"/>
      <c r="C223" s="47" t="n"/>
    </row>
    <row r="224">
      <c r="A224" s="46" t="n"/>
      <c r="B224" s="47" t="n"/>
      <c r="C224" s="47" t="n"/>
    </row>
    <row r="225">
      <c r="A225" s="46" t="n"/>
      <c r="B225" s="47" t="n"/>
      <c r="C225" s="47" t="n"/>
    </row>
    <row r="226">
      <c r="A226" s="46" t="n"/>
      <c r="B226" s="47" t="n"/>
      <c r="C226" s="47" t="n"/>
    </row>
    <row r="227">
      <c r="A227" s="46" t="n"/>
      <c r="B227" s="47" t="n"/>
      <c r="C227" s="47" t="n"/>
    </row>
    <row r="228">
      <c r="A228" s="46" t="n"/>
      <c r="B228" s="47" t="n"/>
      <c r="C228" s="47" t="n"/>
    </row>
    <row r="229">
      <c r="A229" s="46" t="n"/>
      <c r="B229" s="47" t="n"/>
      <c r="C229" s="47" t="n"/>
    </row>
    <row r="230">
      <c r="A230" s="46" t="n"/>
      <c r="B230" s="47" t="n"/>
      <c r="C230" s="47" t="n"/>
    </row>
    <row r="231">
      <c r="A231" s="46" t="n"/>
      <c r="B231" s="47" t="n"/>
      <c r="C231" s="47" t="n"/>
    </row>
    <row r="232">
      <c r="A232" s="46" t="n"/>
      <c r="B232" s="47" t="n"/>
      <c r="C232" s="47" t="n"/>
    </row>
    <row r="233">
      <c r="A233" s="46" t="n"/>
      <c r="B233" s="47" t="n"/>
      <c r="C233" s="47" t="n"/>
    </row>
    <row r="234">
      <c r="A234" s="46" t="n"/>
      <c r="B234" s="47" t="n"/>
      <c r="C234" s="47" t="n"/>
    </row>
    <row r="235">
      <c r="A235" s="46" t="n"/>
      <c r="B235" s="47" t="n"/>
      <c r="C235" s="47" t="n"/>
    </row>
    <row r="236">
      <c r="A236" s="46" t="n"/>
      <c r="B236" s="47" t="n"/>
      <c r="C236" s="47" t="n"/>
    </row>
    <row r="237">
      <c r="A237" s="46" t="n"/>
      <c r="B237" s="47" t="n"/>
      <c r="C237" s="47" t="n"/>
    </row>
    <row r="238">
      <c r="A238" s="46" t="n"/>
      <c r="B238" s="47" t="n"/>
      <c r="C238" s="47" t="n"/>
    </row>
    <row r="239">
      <c r="A239" s="46" t="n"/>
      <c r="B239" s="47" t="n"/>
      <c r="C239" s="47" t="n"/>
    </row>
    <row r="240">
      <c r="A240" s="46" t="n"/>
      <c r="B240" s="47" t="n"/>
      <c r="C240" s="47" t="n"/>
    </row>
    <row r="241">
      <c r="A241" s="46" t="n"/>
      <c r="B241" s="47" t="n"/>
      <c r="C241" s="47" t="n"/>
    </row>
    <row r="242">
      <c r="A242" s="46" t="n"/>
      <c r="B242" s="47" t="n"/>
      <c r="C242" s="47" t="n"/>
    </row>
    <row r="243">
      <c r="A243" s="46" t="n"/>
      <c r="B243" s="47" t="n"/>
      <c r="C243" s="47" t="n"/>
    </row>
    <row r="244">
      <c r="A244" s="46" t="n"/>
      <c r="B244" s="47" t="n"/>
      <c r="C244" s="47" t="n"/>
    </row>
    <row r="245">
      <c r="A245" s="46" t="n"/>
      <c r="B245" s="47" t="n"/>
      <c r="C245" s="47" t="n"/>
    </row>
    <row r="246">
      <c r="A246" s="46" t="n"/>
      <c r="B246" s="47" t="n"/>
      <c r="C246" s="47" t="n"/>
    </row>
    <row r="247">
      <c r="A247" s="46" t="n"/>
      <c r="B247" s="47" t="n"/>
      <c r="C247" s="47" t="n"/>
    </row>
    <row r="248">
      <c r="A248" s="46" t="n"/>
      <c r="B248" s="47" t="n"/>
      <c r="C248" s="47" t="n"/>
    </row>
    <row r="249">
      <c r="A249" s="46" t="n"/>
      <c r="B249" s="47" t="n"/>
      <c r="C249" s="47" t="n"/>
    </row>
    <row r="250">
      <c r="A250" s="46" t="n"/>
      <c r="B250" s="47" t="n"/>
      <c r="C250" s="47" t="n"/>
    </row>
    <row r="251">
      <c r="A251" s="46" t="n"/>
      <c r="B251" s="47" t="n"/>
      <c r="C251" s="47" t="n"/>
    </row>
    <row r="252">
      <c r="A252" s="46" t="n"/>
      <c r="B252" s="47" t="n"/>
      <c r="C252" s="47" t="n"/>
    </row>
    <row r="253">
      <c r="A253" s="46" t="n"/>
      <c r="B253" s="47" t="n"/>
      <c r="C253" s="47" t="n"/>
    </row>
    <row r="254">
      <c r="A254" s="46" t="n"/>
      <c r="B254" s="47" t="n"/>
      <c r="C254" s="47" t="n"/>
    </row>
    <row r="255">
      <c r="A255" s="46" t="n"/>
      <c r="B255" s="47" t="n"/>
      <c r="C255" s="47" t="n"/>
    </row>
    <row r="256">
      <c r="A256" s="46" t="n"/>
      <c r="B256" s="47" t="n"/>
      <c r="C256" s="47" t="n"/>
    </row>
    <row r="257">
      <c r="A257" s="46" t="n"/>
      <c r="B257" s="47" t="n"/>
      <c r="C257" s="47" t="n"/>
    </row>
    <row r="258">
      <c r="A258" s="46" t="n"/>
      <c r="B258" s="47" t="n"/>
      <c r="C258" s="47" t="n"/>
    </row>
    <row r="259">
      <c r="A259" s="46" t="n"/>
      <c r="B259" s="47" t="n"/>
      <c r="C259" s="47" t="n"/>
    </row>
    <row r="260">
      <c r="A260" s="46" t="n"/>
      <c r="B260" s="47" t="n"/>
      <c r="C260" s="47" t="n"/>
    </row>
    <row r="261">
      <c r="A261" s="46" t="n"/>
      <c r="B261" s="47" t="n"/>
      <c r="C261" s="47" t="n"/>
    </row>
    <row r="262">
      <c r="A262" s="46" t="n"/>
      <c r="B262" s="47" t="n"/>
      <c r="C262" s="47" t="n"/>
    </row>
    <row r="263">
      <c r="A263" s="46" t="n"/>
      <c r="B263" s="47" t="n"/>
      <c r="C263" s="47" t="n"/>
    </row>
    <row r="264">
      <c r="A264" s="46" t="n"/>
      <c r="B264" s="47" t="n"/>
      <c r="C264" s="47" t="n"/>
    </row>
    <row r="265">
      <c r="A265" s="46" t="n"/>
      <c r="B265" s="47" t="n"/>
      <c r="C265" s="47" t="n"/>
    </row>
    <row r="266">
      <c r="A266" s="46" t="n"/>
      <c r="B266" s="47" t="n"/>
      <c r="C266" s="47" t="n"/>
    </row>
    <row r="267">
      <c r="A267" s="46" t="n"/>
      <c r="B267" s="47" t="n"/>
      <c r="C267" s="47" t="n"/>
    </row>
    <row r="268">
      <c r="A268" s="46" t="n"/>
      <c r="B268" s="47" t="n"/>
      <c r="C268" s="47" t="n"/>
    </row>
    <row r="269">
      <c r="A269" s="46" t="n"/>
      <c r="B269" s="47" t="n"/>
      <c r="C269" s="47" t="n"/>
    </row>
    <row r="270">
      <c r="A270" s="46" t="n"/>
      <c r="B270" s="47" t="n"/>
      <c r="C270" s="47" t="n"/>
    </row>
    <row r="271">
      <c r="A271" s="46" t="n"/>
      <c r="B271" s="47" t="n"/>
      <c r="C271" s="47" t="n"/>
    </row>
    <row r="272">
      <c r="A272" s="46" t="n"/>
      <c r="B272" s="47" t="n"/>
      <c r="C272" s="47" t="n"/>
    </row>
    <row r="273">
      <c r="A273" s="46" t="n"/>
      <c r="B273" s="47" t="n"/>
      <c r="C273" s="47" t="n"/>
    </row>
    <row r="274">
      <c r="A274" s="46" t="n"/>
      <c r="B274" s="47" t="n"/>
      <c r="C274" s="47" t="n"/>
    </row>
    <row r="275">
      <c r="A275" s="46" t="n"/>
      <c r="B275" s="47" t="n"/>
      <c r="C275" s="47" t="n"/>
    </row>
    <row r="276">
      <c r="A276" s="46" t="n"/>
      <c r="B276" s="47" t="n"/>
      <c r="C276" s="47" t="n"/>
    </row>
    <row r="277">
      <c r="A277" s="46" t="n"/>
      <c r="B277" s="47" t="n"/>
      <c r="C277" s="47" t="n"/>
    </row>
    <row r="278">
      <c r="A278" s="46" t="n"/>
      <c r="B278" s="47" t="n"/>
      <c r="C278" s="47" t="n"/>
    </row>
    <row r="279">
      <c r="A279" s="46" t="n"/>
      <c r="B279" s="47" t="n"/>
      <c r="C279" s="47" t="n"/>
    </row>
    <row r="280">
      <c r="A280" s="46" t="n"/>
      <c r="B280" s="47" t="n"/>
      <c r="C280" s="47" t="n"/>
    </row>
    <row r="281">
      <c r="A281" s="46" t="n"/>
      <c r="B281" s="47" t="n"/>
      <c r="C281" s="47" t="n"/>
    </row>
    <row r="282">
      <c r="A282" s="46" t="n"/>
      <c r="B282" s="47" t="n"/>
      <c r="C282" s="47" t="n"/>
    </row>
    <row r="283">
      <c r="A283" s="46" t="n"/>
      <c r="B283" s="47" t="n"/>
      <c r="C283" s="47" t="n"/>
    </row>
    <row r="284">
      <c r="A284" s="46" t="n"/>
      <c r="B284" s="47" t="n"/>
      <c r="C284" s="47" t="n"/>
    </row>
    <row r="285">
      <c r="A285" s="46" t="n"/>
      <c r="B285" s="47" t="n"/>
      <c r="C285" s="47" t="n"/>
    </row>
    <row r="286">
      <c r="A286" s="46" t="n"/>
      <c r="B286" s="47" t="n"/>
      <c r="C286" s="47" t="n"/>
    </row>
    <row r="287">
      <c r="A287" s="46" t="n"/>
      <c r="B287" s="47" t="n"/>
      <c r="C287" s="47" t="n"/>
    </row>
    <row r="288">
      <c r="A288" s="46" t="n"/>
      <c r="B288" s="47" t="n"/>
      <c r="C288" s="47" t="n"/>
    </row>
    <row r="289">
      <c r="A289" s="46" t="n"/>
      <c r="B289" s="47" t="n"/>
      <c r="C289" s="47" t="n"/>
    </row>
    <row r="290">
      <c r="A290" s="46" t="n"/>
      <c r="B290" s="47" t="n"/>
      <c r="C290" s="47" t="n"/>
    </row>
    <row r="291">
      <c r="A291" s="46" t="n"/>
      <c r="B291" s="47" t="n"/>
      <c r="C291" s="47" t="n"/>
    </row>
    <row r="292">
      <c r="A292" s="46" t="n"/>
      <c r="B292" s="47" t="n"/>
      <c r="C292" s="47" t="n"/>
    </row>
    <row r="293">
      <c r="A293" s="46" t="n"/>
      <c r="B293" s="47" t="n"/>
      <c r="C293" s="47" t="n"/>
    </row>
    <row r="294">
      <c r="A294" s="46" t="n"/>
      <c r="B294" s="47" t="n"/>
      <c r="C294" s="47" t="n"/>
    </row>
    <row r="295">
      <c r="A295" s="46" t="n"/>
      <c r="B295" s="47" t="n"/>
      <c r="C295" s="47" t="n"/>
    </row>
    <row r="296">
      <c r="A296" s="46" t="n"/>
      <c r="B296" s="47" t="n"/>
      <c r="C296" s="47" t="n"/>
    </row>
    <row r="297">
      <c r="A297" s="46" t="n"/>
      <c r="B297" s="47" t="n"/>
      <c r="C297" s="47" t="n"/>
    </row>
    <row r="298">
      <c r="A298" s="46" t="n"/>
      <c r="B298" s="47" t="n"/>
      <c r="C298" s="47" t="n"/>
    </row>
    <row r="299">
      <c r="A299" s="46" t="n"/>
      <c r="B299" s="47" t="n"/>
      <c r="C299" s="47" t="n"/>
    </row>
    <row r="300">
      <c r="A300" s="46" t="n"/>
      <c r="B300" s="47" t="n"/>
      <c r="C300" s="47" t="n"/>
    </row>
    <row r="301">
      <c r="A301" s="46" t="n"/>
      <c r="B301" s="47" t="n"/>
      <c r="C301" s="47" t="n"/>
    </row>
    <row r="302">
      <c r="A302" s="6" t="inlineStr">
        <is>
          <t>SOMMATION</t>
        </is>
      </c>
      <c r="B302" s="8">
        <f>SUM(B2:B301)</f>
        <v/>
      </c>
      <c r="C302" s="8">
        <f>SUM(C2:C301)</f>
        <v/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44" t="inlineStr">
        <is>
          <t>Date</t>
        </is>
      </c>
      <c r="B1" s="44" t="inlineStr">
        <is>
          <t>Réseau</t>
        </is>
      </c>
      <c r="C1" s="44" t="inlineStr">
        <is>
          <t>Montant CDF</t>
        </is>
      </c>
      <c r="D1" s="44" t="inlineStr">
        <is>
          <t>Montant USD</t>
        </is>
      </c>
    </row>
    <row r="2">
      <c r="A2" s="46" t="n"/>
      <c r="B2" s="45" t="n"/>
      <c r="C2" s="47" t="n"/>
      <c r="D2" s="47" t="n"/>
    </row>
    <row r="3">
      <c r="A3" s="46" t="n"/>
      <c r="B3" s="45" t="n"/>
      <c r="C3" s="47" t="n"/>
      <c r="D3" s="47" t="n"/>
    </row>
    <row r="4">
      <c r="A4" s="46" t="n"/>
      <c r="B4" s="45" t="n"/>
      <c r="C4" s="47" t="n"/>
      <c r="D4" s="47" t="n"/>
    </row>
    <row r="5">
      <c r="A5" s="46" t="n"/>
      <c r="B5" s="45" t="n"/>
      <c r="C5" s="47" t="n"/>
      <c r="D5" s="47" t="n"/>
    </row>
    <row r="6">
      <c r="A6" s="46" t="n"/>
      <c r="B6" s="45" t="n"/>
      <c r="C6" s="47" t="n"/>
      <c r="D6" s="47" t="n"/>
    </row>
    <row r="7">
      <c r="A7" s="46" t="n"/>
      <c r="B7" s="45" t="n"/>
      <c r="C7" s="47" t="n"/>
      <c r="D7" s="47" t="n"/>
    </row>
    <row r="8">
      <c r="A8" s="46" t="n"/>
      <c r="B8" s="45" t="n"/>
      <c r="C8" s="47" t="n"/>
      <c r="D8" s="47" t="n"/>
    </row>
    <row r="9">
      <c r="A9" s="46" t="n"/>
      <c r="B9" s="45" t="n"/>
      <c r="C9" s="47" t="n"/>
      <c r="D9" s="47" t="n"/>
    </row>
    <row r="10">
      <c r="A10" s="46" t="n"/>
      <c r="B10" s="45" t="n"/>
      <c r="C10" s="47" t="n"/>
      <c r="D10" s="47" t="n"/>
    </row>
    <row r="11">
      <c r="A11" s="46" t="n"/>
      <c r="B11" s="45" t="n"/>
      <c r="C11" s="47" t="n"/>
      <c r="D11" s="47" t="n"/>
    </row>
    <row r="12">
      <c r="A12" s="46" t="n"/>
      <c r="B12" s="45" t="n"/>
      <c r="C12" s="47" t="n"/>
      <c r="D12" s="47" t="n"/>
    </row>
    <row r="13">
      <c r="A13" s="46" t="n"/>
      <c r="B13" s="45" t="n"/>
      <c r="C13" s="47" t="n"/>
      <c r="D13" s="47" t="n"/>
    </row>
    <row r="14">
      <c r="A14" s="46" t="n"/>
      <c r="B14" s="45" t="n"/>
      <c r="C14" s="47" t="n"/>
      <c r="D14" s="47" t="n"/>
    </row>
    <row r="15">
      <c r="A15" s="46" t="n"/>
      <c r="B15" s="45" t="n"/>
      <c r="C15" s="47" t="n"/>
      <c r="D15" s="47" t="n"/>
    </row>
    <row r="16">
      <c r="A16" s="46" t="n"/>
      <c r="B16" s="45" t="n"/>
      <c r="C16" s="47" t="n"/>
      <c r="D16" s="47" t="n"/>
    </row>
    <row r="17">
      <c r="A17" s="46" t="n"/>
      <c r="B17" s="45" t="n"/>
      <c r="C17" s="47" t="n"/>
      <c r="D17" s="47" t="n"/>
    </row>
    <row r="18">
      <c r="A18" s="46" t="n"/>
      <c r="B18" s="45" t="n"/>
      <c r="C18" s="47" t="n"/>
      <c r="D18" s="47" t="n"/>
    </row>
    <row r="19">
      <c r="A19" s="46" t="n"/>
      <c r="B19" s="45" t="n"/>
      <c r="C19" s="47" t="n"/>
      <c r="D19" s="47" t="n"/>
    </row>
    <row r="20">
      <c r="A20" s="46" t="n"/>
      <c r="B20" s="45" t="n"/>
      <c r="C20" s="47" t="n"/>
      <c r="D20" s="47" t="n"/>
    </row>
    <row r="21">
      <c r="A21" s="46" t="n"/>
      <c r="B21" s="45" t="n"/>
      <c r="C21" s="47" t="n"/>
      <c r="D21" s="47" t="n"/>
    </row>
    <row r="22">
      <c r="A22" s="46" t="n"/>
      <c r="B22" s="45" t="n"/>
      <c r="C22" s="47" t="n"/>
      <c r="D22" s="47" t="n"/>
    </row>
    <row r="23">
      <c r="A23" s="46" t="n"/>
      <c r="B23" s="45" t="n"/>
      <c r="C23" s="47" t="n"/>
      <c r="D23" s="47" t="n"/>
    </row>
    <row r="24">
      <c r="A24" s="46" t="n"/>
      <c r="B24" s="45" t="n"/>
      <c r="C24" s="47" t="n"/>
      <c r="D24" s="47" t="n"/>
    </row>
    <row r="25">
      <c r="A25" s="46" t="n"/>
      <c r="B25" s="45" t="n"/>
      <c r="C25" s="47" t="n"/>
      <c r="D25" s="47" t="n"/>
    </row>
    <row r="26">
      <c r="A26" s="46" t="n"/>
      <c r="B26" s="45" t="n"/>
      <c r="C26" s="47" t="n"/>
      <c r="D26" s="47" t="n"/>
    </row>
    <row r="27">
      <c r="A27" s="46" t="n"/>
      <c r="B27" s="45" t="n"/>
      <c r="C27" s="47" t="n"/>
      <c r="D27" s="47" t="n"/>
    </row>
    <row r="28">
      <c r="A28" s="46" t="n"/>
      <c r="B28" s="45" t="n"/>
      <c r="C28" s="47" t="n"/>
      <c r="D28" s="47" t="n"/>
    </row>
    <row r="29">
      <c r="A29" s="46" t="n"/>
      <c r="B29" s="45" t="n"/>
      <c r="C29" s="47" t="n"/>
      <c r="D29" s="47" t="n"/>
    </row>
    <row r="30">
      <c r="A30" s="46" t="n"/>
      <c r="B30" s="45" t="n"/>
      <c r="C30" s="47" t="n"/>
      <c r="D30" s="47" t="n"/>
    </row>
    <row r="31">
      <c r="A31" s="46" t="n"/>
      <c r="B31" s="45" t="n"/>
      <c r="C31" s="47" t="n"/>
      <c r="D31" s="47" t="n"/>
    </row>
    <row r="32">
      <c r="A32" s="46" t="n"/>
      <c r="B32" s="45" t="n"/>
      <c r="C32" s="47" t="n"/>
      <c r="D32" s="47" t="n"/>
    </row>
    <row r="33">
      <c r="A33" s="46" t="n"/>
      <c r="B33" s="45" t="n"/>
      <c r="C33" s="47" t="n"/>
      <c r="D33" s="47" t="n"/>
    </row>
    <row r="34">
      <c r="A34" s="46" t="n"/>
      <c r="B34" s="45" t="n"/>
      <c r="C34" s="47" t="n"/>
      <c r="D34" s="47" t="n"/>
    </row>
    <row r="35">
      <c r="A35" s="46" t="n"/>
      <c r="B35" s="45" t="n"/>
      <c r="C35" s="47" t="n"/>
      <c r="D35" s="47" t="n"/>
    </row>
    <row r="36">
      <c r="A36" s="46" t="n"/>
      <c r="B36" s="45" t="n"/>
      <c r="C36" s="47" t="n"/>
      <c r="D36" s="47" t="n"/>
    </row>
    <row r="37">
      <c r="A37" s="46" t="n"/>
      <c r="B37" s="45" t="n"/>
      <c r="C37" s="47" t="n"/>
      <c r="D37" s="47" t="n"/>
    </row>
    <row r="38">
      <c r="A38" s="46" t="n"/>
      <c r="B38" s="45" t="n"/>
      <c r="C38" s="47" t="n"/>
      <c r="D38" s="47" t="n"/>
    </row>
    <row r="39">
      <c r="A39" s="46" t="n"/>
      <c r="B39" s="45" t="n"/>
      <c r="C39" s="47" t="n"/>
      <c r="D39" s="47" t="n"/>
    </row>
    <row r="40">
      <c r="A40" s="46" t="n"/>
      <c r="B40" s="45" t="n"/>
      <c r="C40" s="47" t="n"/>
      <c r="D40" s="47" t="n"/>
    </row>
    <row r="41">
      <c r="A41" s="46" t="n"/>
      <c r="B41" s="45" t="n"/>
      <c r="C41" s="47" t="n"/>
      <c r="D41" s="47" t="n"/>
    </row>
    <row r="42">
      <c r="A42" s="46" t="n"/>
      <c r="B42" s="45" t="n"/>
      <c r="C42" s="47" t="n"/>
      <c r="D42" s="47" t="n"/>
    </row>
    <row r="43">
      <c r="A43" s="46" t="n"/>
      <c r="B43" s="45" t="n"/>
      <c r="C43" s="47" t="n"/>
      <c r="D43" s="47" t="n"/>
    </row>
    <row r="44">
      <c r="A44" s="46" t="n"/>
      <c r="B44" s="45" t="n"/>
      <c r="C44" s="47" t="n"/>
      <c r="D44" s="47" t="n"/>
    </row>
    <row r="45">
      <c r="A45" s="46" t="n"/>
      <c r="B45" s="45" t="n"/>
      <c r="C45" s="47" t="n"/>
      <c r="D45" s="47" t="n"/>
    </row>
    <row r="46">
      <c r="A46" s="46" t="n"/>
      <c r="B46" s="45" t="n"/>
      <c r="C46" s="47" t="n"/>
      <c r="D46" s="47" t="n"/>
    </row>
    <row r="47">
      <c r="A47" s="46" t="n"/>
      <c r="B47" s="45" t="n"/>
      <c r="C47" s="47" t="n"/>
      <c r="D47" s="47" t="n"/>
    </row>
    <row r="48">
      <c r="A48" s="46" t="n"/>
      <c r="B48" s="45" t="n"/>
      <c r="C48" s="47" t="n"/>
      <c r="D48" s="47" t="n"/>
    </row>
    <row r="49">
      <c r="A49" s="46" t="n"/>
      <c r="B49" s="45" t="n"/>
      <c r="C49" s="47" t="n"/>
      <c r="D49" s="47" t="n"/>
    </row>
    <row r="50">
      <c r="A50" s="46" t="n"/>
      <c r="B50" s="45" t="n"/>
      <c r="C50" s="47" t="n"/>
      <c r="D50" s="47" t="n"/>
    </row>
    <row r="51">
      <c r="A51" s="46" t="n"/>
      <c r="B51" s="45" t="n"/>
      <c r="C51" s="47" t="n"/>
      <c r="D51" s="47" t="n"/>
    </row>
    <row r="52">
      <c r="A52" s="46" t="n"/>
      <c r="B52" s="45" t="n"/>
      <c r="C52" s="47" t="n"/>
      <c r="D52" s="47" t="n"/>
    </row>
    <row r="53">
      <c r="A53" s="46" t="n"/>
      <c r="B53" s="45" t="n"/>
      <c r="C53" s="47" t="n"/>
      <c r="D53" s="47" t="n"/>
    </row>
    <row r="54">
      <c r="A54" s="46" t="n"/>
      <c r="B54" s="45" t="n"/>
      <c r="C54" s="47" t="n"/>
      <c r="D54" s="47" t="n"/>
    </row>
    <row r="55">
      <c r="A55" s="46" t="n"/>
      <c r="B55" s="45" t="n"/>
      <c r="C55" s="47" t="n"/>
      <c r="D55" s="47" t="n"/>
    </row>
    <row r="56">
      <c r="A56" s="46" t="n"/>
      <c r="B56" s="45" t="n"/>
      <c r="C56" s="47" t="n"/>
      <c r="D56" s="47" t="n"/>
    </row>
    <row r="57">
      <c r="A57" s="46" t="n"/>
      <c r="B57" s="45" t="n"/>
      <c r="C57" s="47" t="n"/>
      <c r="D57" s="47" t="n"/>
    </row>
    <row r="58">
      <c r="A58" s="46" t="n"/>
      <c r="B58" s="45" t="n"/>
      <c r="C58" s="47" t="n"/>
      <c r="D58" s="47" t="n"/>
    </row>
    <row r="59">
      <c r="A59" s="46" t="n"/>
      <c r="B59" s="45" t="n"/>
      <c r="C59" s="47" t="n"/>
      <c r="D59" s="47" t="n"/>
    </row>
    <row r="60">
      <c r="A60" s="46" t="n"/>
      <c r="B60" s="45" t="n"/>
      <c r="C60" s="47" t="n"/>
      <c r="D60" s="47" t="n"/>
    </row>
    <row r="61">
      <c r="A61" s="46" t="n"/>
      <c r="B61" s="45" t="n"/>
      <c r="C61" s="47" t="n"/>
      <c r="D61" s="47" t="n"/>
    </row>
    <row r="62">
      <c r="A62" s="46" t="n"/>
      <c r="B62" s="45" t="n"/>
      <c r="C62" s="47" t="n"/>
      <c r="D62" s="47" t="n"/>
    </row>
    <row r="63">
      <c r="A63" s="46" t="n"/>
      <c r="B63" s="45" t="n"/>
      <c r="C63" s="47" t="n"/>
      <c r="D63" s="47" t="n"/>
    </row>
    <row r="64">
      <c r="A64" s="46" t="n"/>
      <c r="B64" s="45" t="n"/>
      <c r="C64" s="47" t="n"/>
      <c r="D64" s="47" t="n"/>
    </row>
    <row r="65">
      <c r="A65" s="46" t="n"/>
      <c r="B65" s="45" t="n"/>
      <c r="C65" s="47" t="n"/>
      <c r="D65" s="47" t="n"/>
    </row>
    <row r="66">
      <c r="A66" s="46" t="n"/>
      <c r="B66" s="45" t="n"/>
      <c r="C66" s="47" t="n"/>
      <c r="D66" s="47" t="n"/>
    </row>
    <row r="67">
      <c r="A67" s="46" t="n"/>
      <c r="B67" s="45" t="n"/>
      <c r="C67" s="47" t="n"/>
      <c r="D67" s="47" t="n"/>
    </row>
    <row r="68">
      <c r="A68" s="46" t="n"/>
      <c r="B68" s="45" t="n"/>
      <c r="C68" s="47" t="n"/>
      <c r="D68" s="47" t="n"/>
    </row>
    <row r="69">
      <c r="A69" s="46" t="n"/>
      <c r="B69" s="45" t="n"/>
      <c r="C69" s="47" t="n"/>
      <c r="D69" s="47" t="n"/>
    </row>
    <row r="70">
      <c r="A70" s="46" t="n"/>
      <c r="B70" s="45" t="n"/>
      <c r="C70" s="47" t="n"/>
      <c r="D70" s="47" t="n"/>
    </row>
    <row r="71">
      <c r="A71" s="46" t="n"/>
      <c r="B71" s="45" t="n"/>
      <c r="C71" s="47" t="n"/>
      <c r="D71" s="47" t="n"/>
    </row>
    <row r="72">
      <c r="A72" s="46" t="n"/>
      <c r="B72" s="45" t="n"/>
      <c r="C72" s="47" t="n"/>
      <c r="D72" s="47" t="n"/>
    </row>
    <row r="73">
      <c r="A73" s="46" t="n"/>
      <c r="B73" s="45" t="n"/>
      <c r="C73" s="47" t="n"/>
      <c r="D73" s="47" t="n"/>
    </row>
    <row r="74">
      <c r="A74" s="46" t="n"/>
      <c r="B74" s="45" t="n"/>
      <c r="C74" s="47" t="n"/>
      <c r="D74" s="47" t="n"/>
    </row>
    <row r="75">
      <c r="A75" s="46" t="n"/>
      <c r="B75" s="45" t="n"/>
      <c r="C75" s="47" t="n"/>
      <c r="D75" s="47" t="n"/>
    </row>
    <row r="76">
      <c r="A76" s="46" t="n"/>
      <c r="B76" s="45" t="n"/>
      <c r="C76" s="47" t="n"/>
      <c r="D76" s="47" t="n"/>
    </row>
    <row r="77">
      <c r="A77" s="46" t="n"/>
      <c r="B77" s="45" t="n"/>
      <c r="C77" s="47" t="n"/>
      <c r="D77" s="47" t="n"/>
    </row>
    <row r="78">
      <c r="A78" s="46" t="n"/>
      <c r="B78" s="45" t="n"/>
      <c r="C78" s="47" t="n"/>
      <c r="D78" s="47" t="n"/>
    </row>
    <row r="79">
      <c r="A79" s="46" t="n"/>
      <c r="B79" s="45" t="n"/>
      <c r="C79" s="47" t="n"/>
      <c r="D79" s="47" t="n"/>
    </row>
    <row r="80">
      <c r="A80" s="46" t="n"/>
      <c r="B80" s="45" t="n"/>
      <c r="C80" s="47" t="n"/>
      <c r="D80" s="47" t="n"/>
    </row>
    <row r="81">
      <c r="A81" s="46" t="n"/>
      <c r="B81" s="45" t="n"/>
      <c r="C81" s="47" t="n"/>
      <c r="D81" s="47" t="n"/>
    </row>
    <row r="82">
      <c r="A82" s="46" t="n"/>
      <c r="B82" s="45" t="n"/>
      <c r="C82" s="47" t="n"/>
      <c r="D82" s="47" t="n"/>
    </row>
    <row r="83">
      <c r="A83" s="46" t="n"/>
      <c r="B83" s="45" t="n"/>
      <c r="C83" s="47" t="n"/>
      <c r="D83" s="47" t="n"/>
    </row>
    <row r="84">
      <c r="A84" s="46" t="n"/>
      <c r="B84" s="45" t="n"/>
      <c r="C84" s="47" t="n"/>
      <c r="D84" s="47" t="n"/>
    </row>
    <row r="85">
      <c r="A85" s="46" t="n"/>
      <c r="B85" s="45" t="n"/>
      <c r="C85" s="47" t="n"/>
      <c r="D85" s="47" t="n"/>
    </row>
    <row r="86">
      <c r="A86" s="46" t="n"/>
      <c r="B86" s="45" t="n"/>
      <c r="C86" s="47" t="n"/>
      <c r="D86" s="47" t="n"/>
    </row>
    <row r="87">
      <c r="A87" s="46" t="n"/>
      <c r="B87" s="45" t="n"/>
      <c r="C87" s="47" t="n"/>
      <c r="D87" s="47" t="n"/>
    </row>
    <row r="88">
      <c r="A88" s="46" t="n"/>
      <c r="B88" s="45" t="n"/>
      <c r="C88" s="47" t="n"/>
      <c r="D88" s="47" t="n"/>
    </row>
    <row r="89">
      <c r="A89" s="46" t="n"/>
      <c r="B89" s="45" t="n"/>
      <c r="C89" s="47" t="n"/>
      <c r="D89" s="47" t="n"/>
    </row>
    <row r="90">
      <c r="A90" s="46" t="n"/>
      <c r="B90" s="45" t="n"/>
      <c r="C90" s="47" t="n"/>
      <c r="D90" s="47" t="n"/>
    </row>
    <row r="91">
      <c r="A91" s="46" t="n"/>
      <c r="B91" s="45" t="n"/>
      <c r="C91" s="47" t="n"/>
      <c r="D91" s="47" t="n"/>
    </row>
    <row r="92">
      <c r="A92" s="46" t="n"/>
      <c r="B92" s="45" t="n"/>
      <c r="C92" s="47" t="n"/>
      <c r="D92" s="47" t="n"/>
    </row>
    <row r="93">
      <c r="A93" s="46" t="n"/>
      <c r="B93" s="45" t="n"/>
      <c r="C93" s="47" t="n"/>
      <c r="D93" s="47" t="n"/>
    </row>
    <row r="94">
      <c r="A94" s="46" t="n"/>
      <c r="B94" s="45" t="n"/>
      <c r="C94" s="47" t="n"/>
      <c r="D94" s="47" t="n"/>
    </row>
    <row r="95">
      <c r="A95" s="46" t="n"/>
      <c r="B95" s="45" t="n"/>
      <c r="C95" s="47" t="n"/>
      <c r="D95" s="47" t="n"/>
    </row>
    <row r="96">
      <c r="A96" s="46" t="n"/>
      <c r="B96" s="45" t="n"/>
      <c r="C96" s="47" t="n"/>
      <c r="D96" s="47" t="n"/>
    </row>
    <row r="97">
      <c r="A97" s="46" t="n"/>
      <c r="B97" s="45" t="n"/>
      <c r="C97" s="47" t="n"/>
      <c r="D97" s="47" t="n"/>
    </row>
    <row r="98">
      <c r="A98" s="46" t="n"/>
      <c r="B98" s="45" t="n"/>
      <c r="C98" s="47" t="n"/>
      <c r="D98" s="47" t="n"/>
    </row>
    <row r="99">
      <c r="A99" s="46" t="n"/>
      <c r="B99" s="45" t="n"/>
      <c r="C99" s="47" t="n"/>
      <c r="D99" s="47" t="n"/>
    </row>
    <row r="100">
      <c r="A100" s="46" t="n"/>
      <c r="B100" s="45" t="n"/>
      <c r="C100" s="47" t="n"/>
      <c r="D100" s="47" t="n"/>
    </row>
    <row r="101">
      <c r="A101" s="46" t="n"/>
      <c r="B101" s="45" t="n"/>
      <c r="C101" s="47" t="n"/>
      <c r="D101" s="47" t="n"/>
    </row>
    <row r="102">
      <c r="A102" s="46" t="n"/>
      <c r="B102" s="45" t="n"/>
      <c r="C102" s="47" t="n"/>
      <c r="D102" s="47" t="n"/>
    </row>
    <row r="103">
      <c r="A103" s="46" t="n"/>
      <c r="B103" s="45" t="n"/>
      <c r="C103" s="47" t="n"/>
      <c r="D103" s="47" t="n"/>
    </row>
    <row r="104">
      <c r="A104" s="46" t="n"/>
      <c r="B104" s="45" t="n"/>
      <c r="C104" s="47" t="n"/>
      <c r="D104" s="47" t="n"/>
    </row>
    <row r="105">
      <c r="A105" s="46" t="n"/>
      <c r="B105" s="45" t="n"/>
      <c r="C105" s="47" t="n"/>
      <c r="D105" s="47" t="n"/>
    </row>
    <row r="106">
      <c r="A106" s="46" t="n"/>
      <c r="B106" s="45" t="n"/>
      <c r="C106" s="47" t="n"/>
      <c r="D106" s="47" t="n"/>
    </row>
    <row r="107">
      <c r="A107" s="46" t="n"/>
      <c r="B107" s="45" t="n"/>
      <c r="C107" s="47" t="n"/>
      <c r="D107" s="47" t="n"/>
    </row>
    <row r="108">
      <c r="A108" s="46" t="n"/>
      <c r="B108" s="45" t="n"/>
      <c r="C108" s="47" t="n"/>
      <c r="D108" s="47" t="n"/>
    </row>
    <row r="109">
      <c r="A109" s="46" t="n"/>
      <c r="B109" s="45" t="n"/>
      <c r="C109" s="47" t="n"/>
      <c r="D109" s="47" t="n"/>
    </row>
    <row r="110">
      <c r="A110" s="46" t="n"/>
      <c r="B110" s="45" t="n"/>
      <c r="C110" s="47" t="n"/>
      <c r="D110" s="47" t="n"/>
    </row>
    <row r="111">
      <c r="A111" s="46" t="n"/>
      <c r="B111" s="45" t="n"/>
      <c r="C111" s="47" t="n"/>
      <c r="D111" s="47" t="n"/>
    </row>
    <row r="112">
      <c r="A112" s="46" t="n"/>
      <c r="B112" s="45" t="n"/>
      <c r="C112" s="47" t="n"/>
      <c r="D112" s="47" t="n"/>
    </row>
    <row r="113">
      <c r="A113" s="46" t="n"/>
      <c r="B113" s="45" t="n"/>
      <c r="C113" s="47" t="n"/>
      <c r="D113" s="47" t="n"/>
    </row>
    <row r="114">
      <c r="A114" s="46" t="n"/>
      <c r="B114" s="45" t="n"/>
      <c r="C114" s="47" t="n"/>
      <c r="D114" s="47" t="n"/>
    </row>
    <row r="115">
      <c r="A115" s="46" t="n"/>
      <c r="B115" s="45" t="n"/>
      <c r="C115" s="47" t="n"/>
      <c r="D115" s="47" t="n"/>
    </row>
    <row r="116">
      <c r="A116" s="46" t="n"/>
      <c r="B116" s="45" t="n"/>
      <c r="C116" s="47" t="n"/>
      <c r="D116" s="47" t="n"/>
    </row>
    <row r="117">
      <c r="A117" s="46" t="n"/>
      <c r="B117" s="45" t="n"/>
      <c r="C117" s="47" t="n"/>
      <c r="D117" s="47" t="n"/>
    </row>
    <row r="118">
      <c r="A118" s="46" t="n"/>
      <c r="B118" s="45" t="n"/>
      <c r="C118" s="47" t="n"/>
      <c r="D118" s="47" t="n"/>
    </row>
    <row r="119">
      <c r="A119" s="46" t="n"/>
      <c r="B119" s="45" t="n"/>
      <c r="C119" s="47" t="n"/>
      <c r="D119" s="47" t="n"/>
    </row>
    <row r="120">
      <c r="A120" s="46" t="n"/>
      <c r="B120" s="45" t="n"/>
      <c r="C120" s="47" t="n"/>
      <c r="D120" s="47" t="n"/>
    </row>
    <row r="121">
      <c r="A121" s="46" t="n"/>
      <c r="B121" s="45" t="n"/>
      <c r="C121" s="47" t="n"/>
      <c r="D121" s="47" t="n"/>
    </row>
    <row r="122">
      <c r="A122" s="46" t="n"/>
      <c r="B122" s="45" t="n"/>
      <c r="C122" s="47" t="n"/>
      <c r="D122" s="47" t="n"/>
    </row>
    <row r="123">
      <c r="A123" s="46" t="n"/>
      <c r="B123" s="45" t="n"/>
      <c r="C123" s="47" t="n"/>
      <c r="D123" s="47" t="n"/>
    </row>
    <row r="124">
      <c r="A124" s="46" t="n"/>
      <c r="B124" s="45" t="n"/>
      <c r="C124" s="47" t="n"/>
      <c r="D124" s="47" t="n"/>
    </row>
    <row r="125">
      <c r="A125" s="46" t="n"/>
      <c r="B125" s="45" t="n"/>
      <c r="C125" s="47" t="n"/>
      <c r="D125" s="47" t="n"/>
    </row>
    <row r="126">
      <c r="A126" s="46" t="n"/>
      <c r="B126" s="45" t="n"/>
      <c r="C126" s="47" t="n"/>
      <c r="D126" s="47" t="n"/>
    </row>
    <row r="127">
      <c r="A127" s="46" t="n"/>
      <c r="B127" s="45" t="n"/>
      <c r="C127" s="47" t="n"/>
      <c r="D127" s="47" t="n"/>
    </row>
    <row r="128">
      <c r="A128" s="46" t="n"/>
      <c r="B128" s="45" t="n"/>
      <c r="C128" s="47" t="n"/>
      <c r="D128" s="47" t="n"/>
    </row>
    <row r="129">
      <c r="A129" s="46" t="n"/>
      <c r="B129" s="45" t="n"/>
      <c r="C129" s="47" t="n"/>
      <c r="D129" s="47" t="n"/>
    </row>
    <row r="130">
      <c r="A130" s="46" t="n"/>
      <c r="B130" s="45" t="n"/>
      <c r="C130" s="47" t="n"/>
      <c r="D130" s="47" t="n"/>
    </row>
    <row r="131">
      <c r="A131" s="46" t="n"/>
      <c r="B131" s="45" t="n"/>
      <c r="C131" s="47" t="n"/>
      <c r="D131" s="47" t="n"/>
    </row>
    <row r="132">
      <c r="A132" s="46" t="n"/>
      <c r="B132" s="45" t="n"/>
      <c r="C132" s="47" t="n"/>
      <c r="D132" s="47" t="n"/>
    </row>
    <row r="133">
      <c r="A133" s="46" t="n"/>
      <c r="B133" s="45" t="n"/>
      <c r="C133" s="47" t="n"/>
      <c r="D133" s="47" t="n"/>
    </row>
    <row r="134">
      <c r="A134" s="46" t="n"/>
      <c r="B134" s="45" t="n"/>
      <c r="C134" s="47" t="n"/>
      <c r="D134" s="47" t="n"/>
    </row>
    <row r="135">
      <c r="A135" s="46" t="n"/>
      <c r="B135" s="45" t="n"/>
      <c r="C135" s="47" t="n"/>
      <c r="D135" s="47" t="n"/>
    </row>
    <row r="136">
      <c r="A136" s="46" t="n"/>
      <c r="B136" s="45" t="n"/>
      <c r="C136" s="47" t="n"/>
      <c r="D136" s="47" t="n"/>
    </row>
    <row r="137">
      <c r="A137" s="46" t="n"/>
      <c r="B137" s="45" t="n"/>
      <c r="C137" s="47" t="n"/>
      <c r="D137" s="47" t="n"/>
    </row>
    <row r="138">
      <c r="A138" s="46" t="n"/>
      <c r="B138" s="45" t="n"/>
      <c r="C138" s="47" t="n"/>
      <c r="D138" s="47" t="n"/>
    </row>
    <row r="139">
      <c r="A139" s="46" t="n"/>
      <c r="B139" s="45" t="n"/>
      <c r="C139" s="47" t="n"/>
      <c r="D139" s="47" t="n"/>
    </row>
    <row r="140">
      <c r="A140" s="46" t="n"/>
      <c r="B140" s="45" t="n"/>
      <c r="C140" s="47" t="n"/>
      <c r="D140" s="47" t="n"/>
    </row>
    <row r="141">
      <c r="A141" s="46" t="n"/>
      <c r="B141" s="45" t="n"/>
      <c r="C141" s="47" t="n"/>
      <c r="D141" s="47" t="n"/>
    </row>
    <row r="142">
      <c r="A142" s="46" t="n"/>
      <c r="B142" s="45" t="n"/>
      <c r="C142" s="47" t="n"/>
      <c r="D142" s="47" t="n"/>
    </row>
    <row r="143">
      <c r="A143" s="46" t="n"/>
      <c r="B143" s="45" t="n"/>
      <c r="C143" s="47" t="n"/>
      <c r="D143" s="47" t="n"/>
    </row>
    <row r="144">
      <c r="A144" s="46" t="n"/>
      <c r="B144" s="45" t="n"/>
      <c r="C144" s="47" t="n"/>
      <c r="D144" s="47" t="n"/>
    </row>
    <row r="145">
      <c r="A145" s="46" t="n"/>
      <c r="B145" s="45" t="n"/>
      <c r="C145" s="47" t="n"/>
      <c r="D145" s="47" t="n"/>
    </row>
    <row r="146">
      <c r="A146" s="46" t="n"/>
      <c r="B146" s="45" t="n"/>
      <c r="C146" s="47" t="n"/>
      <c r="D146" s="47" t="n"/>
    </row>
    <row r="147">
      <c r="A147" s="46" t="n"/>
      <c r="B147" s="45" t="n"/>
      <c r="C147" s="47" t="n"/>
      <c r="D147" s="47" t="n"/>
    </row>
    <row r="148">
      <c r="A148" s="46" t="n"/>
      <c r="B148" s="45" t="n"/>
      <c r="C148" s="47" t="n"/>
      <c r="D148" s="47" t="n"/>
    </row>
    <row r="149">
      <c r="A149" s="46" t="n"/>
      <c r="B149" s="45" t="n"/>
      <c r="C149" s="47" t="n"/>
      <c r="D149" s="47" t="n"/>
    </row>
    <row r="150">
      <c r="A150" s="46" t="n"/>
      <c r="B150" s="45" t="n"/>
      <c r="C150" s="47" t="n"/>
      <c r="D150" s="47" t="n"/>
    </row>
    <row r="151">
      <c r="A151" s="46" t="n"/>
      <c r="B151" s="45" t="n"/>
      <c r="C151" s="47" t="n"/>
      <c r="D151" s="47" t="n"/>
    </row>
    <row r="152">
      <c r="A152" s="46" t="n"/>
      <c r="B152" s="45" t="n"/>
      <c r="C152" s="47" t="n"/>
      <c r="D152" s="47" t="n"/>
    </row>
    <row r="153">
      <c r="A153" s="46" t="n"/>
      <c r="B153" s="45" t="n"/>
      <c r="C153" s="47" t="n"/>
      <c r="D153" s="47" t="n"/>
    </row>
    <row r="154">
      <c r="A154" s="46" t="n"/>
      <c r="B154" s="45" t="n"/>
      <c r="C154" s="47" t="n"/>
      <c r="D154" s="47" t="n"/>
    </row>
    <row r="155">
      <c r="A155" s="46" t="n"/>
      <c r="B155" s="45" t="n"/>
      <c r="C155" s="47" t="n"/>
      <c r="D155" s="47" t="n"/>
    </row>
    <row r="156">
      <c r="A156" s="46" t="n"/>
      <c r="B156" s="45" t="n"/>
      <c r="C156" s="47" t="n"/>
      <c r="D156" s="47" t="n"/>
    </row>
    <row r="157">
      <c r="A157" s="46" t="n"/>
      <c r="B157" s="45" t="n"/>
      <c r="C157" s="47" t="n"/>
      <c r="D157" s="47" t="n"/>
    </row>
    <row r="158">
      <c r="A158" s="46" t="n"/>
      <c r="B158" s="45" t="n"/>
      <c r="C158" s="47" t="n"/>
      <c r="D158" s="47" t="n"/>
    </row>
    <row r="159">
      <c r="A159" s="46" t="n"/>
      <c r="B159" s="45" t="n"/>
      <c r="C159" s="47" t="n"/>
      <c r="D159" s="47" t="n"/>
    </row>
    <row r="160">
      <c r="A160" s="46" t="n"/>
      <c r="B160" s="45" t="n"/>
      <c r="C160" s="47" t="n"/>
      <c r="D160" s="47" t="n"/>
    </row>
    <row r="161">
      <c r="A161" s="46" t="n"/>
      <c r="B161" s="45" t="n"/>
      <c r="C161" s="47" t="n"/>
      <c r="D161" s="47" t="n"/>
    </row>
    <row r="162">
      <c r="A162" s="46" t="n"/>
      <c r="B162" s="45" t="n"/>
      <c r="C162" s="47" t="n"/>
      <c r="D162" s="47" t="n"/>
    </row>
    <row r="163">
      <c r="A163" s="46" t="n"/>
      <c r="B163" s="45" t="n"/>
      <c r="C163" s="47" t="n"/>
      <c r="D163" s="47" t="n"/>
    </row>
    <row r="164">
      <c r="A164" s="46" t="n"/>
      <c r="B164" s="45" t="n"/>
      <c r="C164" s="47" t="n"/>
      <c r="D164" s="47" t="n"/>
    </row>
    <row r="165">
      <c r="A165" s="46" t="n"/>
      <c r="B165" s="45" t="n"/>
      <c r="C165" s="47" t="n"/>
      <c r="D165" s="47" t="n"/>
    </row>
    <row r="166">
      <c r="A166" s="46" t="n"/>
      <c r="B166" s="45" t="n"/>
      <c r="C166" s="47" t="n"/>
      <c r="D166" s="47" t="n"/>
    </row>
    <row r="167">
      <c r="A167" s="46" t="n"/>
      <c r="B167" s="45" t="n"/>
      <c r="C167" s="47" t="n"/>
      <c r="D167" s="47" t="n"/>
    </row>
    <row r="168">
      <c r="A168" s="46" t="n"/>
      <c r="B168" s="45" t="n"/>
      <c r="C168" s="47" t="n"/>
      <c r="D168" s="47" t="n"/>
    </row>
    <row r="169">
      <c r="A169" s="46" t="n"/>
      <c r="B169" s="45" t="n"/>
      <c r="C169" s="47" t="n"/>
      <c r="D169" s="47" t="n"/>
    </row>
    <row r="170">
      <c r="A170" s="46" t="n"/>
      <c r="B170" s="45" t="n"/>
      <c r="C170" s="47" t="n"/>
      <c r="D170" s="47" t="n"/>
    </row>
    <row r="171">
      <c r="A171" s="46" t="n"/>
      <c r="B171" s="45" t="n"/>
      <c r="C171" s="47" t="n"/>
      <c r="D171" s="47" t="n"/>
    </row>
    <row r="172">
      <c r="A172" s="46" t="n"/>
      <c r="B172" s="45" t="n"/>
      <c r="C172" s="47" t="n"/>
      <c r="D172" s="47" t="n"/>
    </row>
    <row r="173">
      <c r="A173" s="46" t="n"/>
      <c r="B173" s="45" t="n"/>
      <c r="C173" s="47" t="n"/>
      <c r="D173" s="47" t="n"/>
    </row>
    <row r="174">
      <c r="A174" s="46" t="n"/>
      <c r="B174" s="45" t="n"/>
      <c r="C174" s="47" t="n"/>
      <c r="D174" s="47" t="n"/>
    </row>
    <row r="175">
      <c r="A175" s="46" t="n"/>
      <c r="B175" s="45" t="n"/>
      <c r="C175" s="47" t="n"/>
      <c r="D175" s="47" t="n"/>
    </row>
    <row r="176">
      <c r="A176" s="46" t="n"/>
      <c r="B176" s="45" t="n"/>
      <c r="C176" s="47" t="n"/>
      <c r="D176" s="47" t="n"/>
    </row>
    <row r="177">
      <c r="A177" s="46" t="n"/>
      <c r="B177" s="45" t="n"/>
      <c r="C177" s="47" t="n"/>
      <c r="D177" s="47" t="n"/>
    </row>
    <row r="178">
      <c r="A178" s="46" t="n"/>
      <c r="B178" s="45" t="n"/>
      <c r="C178" s="47" t="n"/>
      <c r="D178" s="47" t="n"/>
    </row>
    <row r="179">
      <c r="A179" s="46" t="n"/>
      <c r="B179" s="45" t="n"/>
      <c r="C179" s="47" t="n"/>
      <c r="D179" s="47" t="n"/>
    </row>
    <row r="180">
      <c r="A180" s="46" t="n"/>
      <c r="B180" s="45" t="n"/>
      <c r="C180" s="47" t="n"/>
      <c r="D180" s="47" t="n"/>
    </row>
    <row r="181">
      <c r="A181" s="46" t="n"/>
      <c r="B181" s="45" t="n"/>
      <c r="C181" s="47" t="n"/>
      <c r="D181" s="47" t="n"/>
    </row>
    <row r="182">
      <c r="A182" s="46" t="n"/>
      <c r="B182" s="45" t="n"/>
      <c r="C182" s="47" t="n"/>
      <c r="D182" s="47" t="n"/>
    </row>
    <row r="183">
      <c r="A183" s="46" t="n"/>
      <c r="B183" s="45" t="n"/>
      <c r="C183" s="47" t="n"/>
      <c r="D183" s="47" t="n"/>
    </row>
    <row r="184">
      <c r="A184" s="46" t="n"/>
      <c r="B184" s="45" t="n"/>
      <c r="C184" s="47" t="n"/>
      <c r="D184" s="47" t="n"/>
    </row>
    <row r="185">
      <c r="A185" s="46" t="n"/>
      <c r="B185" s="45" t="n"/>
      <c r="C185" s="47" t="n"/>
      <c r="D185" s="47" t="n"/>
    </row>
    <row r="186">
      <c r="A186" s="46" t="n"/>
      <c r="B186" s="45" t="n"/>
      <c r="C186" s="47" t="n"/>
      <c r="D186" s="47" t="n"/>
    </row>
    <row r="187">
      <c r="A187" s="46" t="n"/>
      <c r="B187" s="45" t="n"/>
      <c r="C187" s="47" t="n"/>
      <c r="D187" s="47" t="n"/>
    </row>
    <row r="188">
      <c r="A188" s="46" t="n"/>
      <c r="B188" s="45" t="n"/>
      <c r="C188" s="47" t="n"/>
      <c r="D188" s="47" t="n"/>
    </row>
    <row r="189">
      <c r="A189" s="46" t="n"/>
      <c r="B189" s="45" t="n"/>
      <c r="C189" s="47" t="n"/>
      <c r="D189" s="47" t="n"/>
    </row>
    <row r="190">
      <c r="A190" s="46" t="n"/>
      <c r="B190" s="45" t="n"/>
      <c r="C190" s="47" t="n"/>
      <c r="D190" s="47" t="n"/>
    </row>
    <row r="191">
      <c r="A191" s="46" t="n"/>
      <c r="B191" s="45" t="n"/>
      <c r="C191" s="47" t="n"/>
      <c r="D191" s="47" t="n"/>
    </row>
    <row r="192">
      <c r="A192" s="46" t="n"/>
      <c r="B192" s="45" t="n"/>
      <c r="C192" s="47" t="n"/>
      <c r="D192" s="47" t="n"/>
    </row>
    <row r="193">
      <c r="A193" s="46" t="n"/>
      <c r="B193" s="45" t="n"/>
      <c r="C193" s="47" t="n"/>
      <c r="D193" s="47" t="n"/>
    </row>
    <row r="194">
      <c r="A194" s="46" t="n"/>
      <c r="B194" s="45" t="n"/>
      <c r="C194" s="47" t="n"/>
      <c r="D194" s="47" t="n"/>
    </row>
    <row r="195">
      <c r="A195" s="46" t="n"/>
      <c r="B195" s="45" t="n"/>
      <c r="C195" s="47" t="n"/>
      <c r="D195" s="47" t="n"/>
    </row>
    <row r="196">
      <c r="A196" s="46" t="n"/>
      <c r="B196" s="45" t="n"/>
      <c r="C196" s="47" t="n"/>
      <c r="D196" s="47" t="n"/>
    </row>
    <row r="197">
      <c r="A197" s="46" t="n"/>
      <c r="B197" s="45" t="n"/>
      <c r="C197" s="47" t="n"/>
      <c r="D197" s="47" t="n"/>
    </row>
    <row r="198">
      <c r="A198" s="46" t="n"/>
      <c r="B198" s="45" t="n"/>
      <c r="C198" s="47" t="n"/>
      <c r="D198" s="47" t="n"/>
    </row>
    <row r="199">
      <c r="A199" s="46" t="n"/>
      <c r="B199" s="45" t="n"/>
      <c r="C199" s="47" t="n"/>
      <c r="D199" s="47" t="n"/>
    </row>
    <row r="200">
      <c r="A200" s="46" t="n"/>
      <c r="B200" s="45" t="n"/>
      <c r="C200" s="47" t="n"/>
      <c r="D200" s="47" t="n"/>
    </row>
    <row r="201">
      <c r="A201" s="46" t="n"/>
      <c r="B201" s="45" t="n"/>
      <c r="C201" s="47" t="n"/>
      <c r="D201" s="47" t="n"/>
    </row>
    <row r="202">
      <c r="A202" s="6" t="inlineStr">
        <is>
          <t>SOMMATION</t>
        </is>
      </c>
      <c r="B202" s="7" t="n"/>
      <c r="C202" s="8">
        <f>SUM(C2:C201)</f>
        <v/>
      </c>
      <c r="D202" s="8">
        <f>SUM(D2:D201)</f>
        <v/>
      </c>
    </row>
  </sheetData>
  <dataValidations count="1">
    <dataValidation sqref="B2:B201" showDropDown="0" showInputMessage="0" showErrorMessage="0" allowBlank="1" type="list">
      <formula1>=Paramètres!$A$4:$A$8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6" customWidth="1" min="5" max="5"/>
  </cols>
  <sheetData>
    <row r="1" ht="22" customHeight="1">
      <c r="A1" s="44" t="inlineStr">
        <is>
          <t>Date</t>
        </is>
      </c>
      <c r="B1" s="44" t="inlineStr">
        <is>
          <t>Réseau</t>
        </is>
      </c>
      <c r="C1" s="44" t="inlineStr">
        <is>
          <t>Montant du Jour</t>
        </is>
      </c>
      <c r="D1" s="44" t="inlineStr">
        <is>
          <t>Mois (AAAA-MM)</t>
        </is>
      </c>
      <c r="E1" s="44" t="inlineStr">
        <is>
          <t>Montant du mois</t>
        </is>
      </c>
    </row>
    <row r="2">
      <c r="A2" s="46" t="n"/>
      <c r="B2" s="45" t="n"/>
      <c r="C2" s="47" t="n"/>
      <c r="D2" s="45">
        <f>IF(A2="","",TEXT(A2,"yyyy-mm"))</f>
        <v/>
      </c>
      <c r="E2" s="47">
        <f>IF(OR(B2="",D2=""),"",SUMIFS($C$2:$C$201,$B$2:$B$201,B2,$D$2:$D$201,D2))</f>
        <v/>
      </c>
    </row>
    <row r="3">
      <c r="A3" s="46" t="n"/>
      <c r="B3" s="45" t="n"/>
      <c r="C3" s="47" t="n"/>
      <c r="D3" s="45">
        <f>IF(A3="","",TEXT(A3,"yyyy-mm"))</f>
        <v/>
      </c>
      <c r="E3" s="47">
        <f>IF(OR(B3="",D3=""),"",SUMIFS($C$2:$C$201,$B$2:$B$201,B3,$D$2:$D$201,D3))</f>
        <v/>
      </c>
    </row>
    <row r="4">
      <c r="A4" s="46" t="n"/>
      <c r="B4" s="45" t="n"/>
      <c r="C4" s="47" t="n"/>
      <c r="D4" s="45">
        <f>IF(A4="","",TEXT(A4,"yyyy-mm"))</f>
        <v/>
      </c>
      <c r="E4" s="47">
        <f>IF(OR(B4="",D4=""),"",SUMIFS($C$2:$C$201,$B$2:$B$201,B4,$D$2:$D$201,D4))</f>
        <v/>
      </c>
    </row>
    <row r="5">
      <c r="A5" s="46" t="n"/>
      <c r="B5" s="45" t="n"/>
      <c r="C5" s="47" t="n"/>
      <c r="D5" s="45">
        <f>IF(A5="","",TEXT(A5,"yyyy-mm"))</f>
        <v/>
      </c>
      <c r="E5" s="47">
        <f>IF(OR(B5="",D5=""),"",SUMIFS($C$2:$C$201,$B$2:$B$201,B5,$D$2:$D$201,D5))</f>
        <v/>
      </c>
    </row>
    <row r="6">
      <c r="A6" s="46" t="n"/>
      <c r="B6" s="45" t="n"/>
      <c r="C6" s="47" t="n"/>
      <c r="D6" s="45">
        <f>IF(A6="","",TEXT(A6,"yyyy-mm"))</f>
        <v/>
      </c>
      <c r="E6" s="47">
        <f>IF(OR(B6="",D6=""),"",SUMIFS($C$2:$C$201,$B$2:$B$201,B6,$D$2:$D$201,D6))</f>
        <v/>
      </c>
    </row>
    <row r="7">
      <c r="A7" s="46" t="n"/>
      <c r="B7" s="45" t="n"/>
      <c r="C7" s="47" t="n"/>
      <c r="D7" s="45">
        <f>IF(A7="","",TEXT(A7,"yyyy-mm"))</f>
        <v/>
      </c>
      <c r="E7" s="47">
        <f>IF(OR(B7="",D7=""),"",SUMIFS($C$2:$C$201,$B$2:$B$201,B7,$D$2:$D$201,D7))</f>
        <v/>
      </c>
    </row>
    <row r="8">
      <c r="A8" s="46" t="n"/>
      <c r="B8" s="45" t="n"/>
      <c r="C8" s="47" t="n"/>
      <c r="D8" s="45">
        <f>IF(A8="","",TEXT(A8,"yyyy-mm"))</f>
        <v/>
      </c>
      <c r="E8" s="47">
        <f>IF(OR(B8="",D8=""),"",SUMIFS($C$2:$C$201,$B$2:$B$201,B8,$D$2:$D$201,D8))</f>
        <v/>
      </c>
    </row>
    <row r="9">
      <c r="A9" s="46" t="n"/>
      <c r="B9" s="45" t="n"/>
      <c r="C9" s="47" t="n"/>
      <c r="D9" s="45">
        <f>IF(A9="","",TEXT(A9,"yyyy-mm"))</f>
        <v/>
      </c>
      <c r="E9" s="47">
        <f>IF(OR(B9="",D9=""),"",SUMIFS($C$2:$C$201,$B$2:$B$201,B9,$D$2:$D$201,D9))</f>
        <v/>
      </c>
    </row>
    <row r="10">
      <c r="A10" s="46" t="n"/>
      <c r="B10" s="45" t="n"/>
      <c r="C10" s="47" t="n"/>
      <c r="D10" s="45">
        <f>IF(A10="","",TEXT(A10,"yyyy-mm"))</f>
        <v/>
      </c>
      <c r="E10" s="47">
        <f>IF(OR(B10="",D10=""),"",SUMIFS($C$2:$C$201,$B$2:$B$201,B10,$D$2:$D$201,D10))</f>
        <v/>
      </c>
    </row>
    <row r="11">
      <c r="A11" s="46" t="n"/>
      <c r="B11" s="45" t="n"/>
      <c r="C11" s="47" t="n"/>
      <c r="D11" s="45">
        <f>IF(A11="","",TEXT(A11,"yyyy-mm"))</f>
        <v/>
      </c>
      <c r="E11" s="47">
        <f>IF(OR(B11="",D11=""),"",SUMIFS($C$2:$C$201,$B$2:$B$201,B11,$D$2:$D$201,D11))</f>
        <v/>
      </c>
    </row>
    <row r="12">
      <c r="A12" s="46" t="n"/>
      <c r="B12" s="45" t="n"/>
      <c r="C12" s="47" t="n"/>
      <c r="D12" s="45">
        <f>IF(A12="","",TEXT(A12,"yyyy-mm"))</f>
        <v/>
      </c>
      <c r="E12" s="47">
        <f>IF(OR(B12="",D12=""),"",SUMIFS($C$2:$C$201,$B$2:$B$201,B12,$D$2:$D$201,D12))</f>
        <v/>
      </c>
    </row>
    <row r="13">
      <c r="A13" s="46" t="n"/>
      <c r="B13" s="45" t="n"/>
      <c r="C13" s="47" t="n"/>
      <c r="D13" s="45">
        <f>IF(A13="","",TEXT(A13,"yyyy-mm"))</f>
        <v/>
      </c>
      <c r="E13" s="47">
        <f>IF(OR(B13="",D13=""),"",SUMIFS($C$2:$C$201,$B$2:$B$201,B13,$D$2:$D$201,D13))</f>
        <v/>
      </c>
    </row>
    <row r="14">
      <c r="A14" s="46" t="n"/>
      <c r="B14" s="45" t="n"/>
      <c r="C14" s="47" t="n"/>
      <c r="D14" s="45">
        <f>IF(A14="","",TEXT(A14,"yyyy-mm"))</f>
        <v/>
      </c>
      <c r="E14" s="47">
        <f>IF(OR(B14="",D14=""),"",SUMIFS($C$2:$C$201,$B$2:$B$201,B14,$D$2:$D$201,D14))</f>
        <v/>
      </c>
    </row>
    <row r="15">
      <c r="A15" s="46" t="n"/>
      <c r="B15" s="45" t="n"/>
      <c r="C15" s="47" t="n"/>
      <c r="D15" s="45">
        <f>IF(A15="","",TEXT(A15,"yyyy-mm"))</f>
        <v/>
      </c>
      <c r="E15" s="47">
        <f>IF(OR(B15="",D15=""),"",SUMIFS($C$2:$C$201,$B$2:$B$201,B15,$D$2:$D$201,D15))</f>
        <v/>
      </c>
    </row>
    <row r="16">
      <c r="A16" s="46" t="n"/>
      <c r="B16" s="45" t="n"/>
      <c r="C16" s="47" t="n"/>
      <c r="D16" s="45">
        <f>IF(A16="","",TEXT(A16,"yyyy-mm"))</f>
        <v/>
      </c>
      <c r="E16" s="47">
        <f>IF(OR(B16="",D16=""),"",SUMIFS($C$2:$C$201,$B$2:$B$201,B16,$D$2:$D$201,D16))</f>
        <v/>
      </c>
    </row>
    <row r="17">
      <c r="A17" s="46" t="n"/>
      <c r="B17" s="45" t="n"/>
      <c r="C17" s="47" t="n"/>
      <c r="D17" s="45">
        <f>IF(A17="","",TEXT(A17,"yyyy-mm"))</f>
        <v/>
      </c>
      <c r="E17" s="47">
        <f>IF(OR(B17="",D17=""),"",SUMIFS($C$2:$C$201,$B$2:$B$201,B17,$D$2:$D$201,D17))</f>
        <v/>
      </c>
    </row>
    <row r="18">
      <c r="A18" s="46" t="n"/>
      <c r="B18" s="45" t="n"/>
      <c r="C18" s="47" t="n"/>
      <c r="D18" s="45">
        <f>IF(A18="","",TEXT(A18,"yyyy-mm"))</f>
        <v/>
      </c>
      <c r="E18" s="47">
        <f>IF(OR(B18="",D18=""),"",SUMIFS($C$2:$C$201,$B$2:$B$201,B18,$D$2:$D$201,D18))</f>
        <v/>
      </c>
    </row>
    <row r="19">
      <c r="A19" s="46" t="n"/>
      <c r="B19" s="45" t="n"/>
      <c r="C19" s="47" t="n"/>
      <c r="D19" s="45">
        <f>IF(A19="","",TEXT(A19,"yyyy-mm"))</f>
        <v/>
      </c>
      <c r="E19" s="47">
        <f>IF(OR(B19="",D19=""),"",SUMIFS($C$2:$C$201,$B$2:$B$201,B19,$D$2:$D$201,D19))</f>
        <v/>
      </c>
    </row>
    <row r="20">
      <c r="A20" s="46" t="n"/>
      <c r="B20" s="45" t="n"/>
      <c r="C20" s="47" t="n"/>
      <c r="D20" s="45">
        <f>IF(A20="","",TEXT(A20,"yyyy-mm"))</f>
        <v/>
      </c>
      <c r="E20" s="47">
        <f>IF(OR(B20="",D20=""),"",SUMIFS($C$2:$C$201,$B$2:$B$201,B20,$D$2:$D$201,D20))</f>
        <v/>
      </c>
    </row>
    <row r="21">
      <c r="A21" s="46" t="n"/>
      <c r="B21" s="45" t="n"/>
      <c r="C21" s="47" t="n"/>
      <c r="D21" s="45">
        <f>IF(A21="","",TEXT(A21,"yyyy-mm"))</f>
        <v/>
      </c>
      <c r="E21" s="47">
        <f>IF(OR(B21="",D21=""),"",SUMIFS($C$2:$C$201,$B$2:$B$201,B21,$D$2:$D$201,D21))</f>
        <v/>
      </c>
    </row>
    <row r="22">
      <c r="A22" s="46" t="n"/>
      <c r="B22" s="45" t="n"/>
      <c r="C22" s="47" t="n"/>
      <c r="D22" s="45">
        <f>IF(A22="","",TEXT(A22,"yyyy-mm"))</f>
        <v/>
      </c>
      <c r="E22" s="47">
        <f>IF(OR(B22="",D22=""),"",SUMIFS($C$2:$C$201,$B$2:$B$201,B22,$D$2:$D$201,D22))</f>
        <v/>
      </c>
    </row>
    <row r="23">
      <c r="A23" s="46" t="n"/>
      <c r="B23" s="45" t="n"/>
      <c r="C23" s="47" t="n"/>
      <c r="D23" s="45">
        <f>IF(A23="","",TEXT(A23,"yyyy-mm"))</f>
        <v/>
      </c>
      <c r="E23" s="47">
        <f>IF(OR(B23="",D23=""),"",SUMIFS($C$2:$C$201,$B$2:$B$201,B23,$D$2:$D$201,D23))</f>
        <v/>
      </c>
    </row>
    <row r="24">
      <c r="A24" s="46" t="n"/>
      <c r="B24" s="45" t="n"/>
      <c r="C24" s="47" t="n"/>
      <c r="D24" s="45">
        <f>IF(A24="","",TEXT(A24,"yyyy-mm"))</f>
        <v/>
      </c>
      <c r="E24" s="47">
        <f>IF(OR(B24="",D24=""),"",SUMIFS($C$2:$C$201,$B$2:$B$201,B24,$D$2:$D$201,D24))</f>
        <v/>
      </c>
    </row>
    <row r="25">
      <c r="A25" s="46" t="n"/>
      <c r="B25" s="45" t="n"/>
      <c r="C25" s="47" t="n"/>
      <c r="D25" s="45">
        <f>IF(A25="","",TEXT(A25,"yyyy-mm"))</f>
        <v/>
      </c>
      <c r="E25" s="47">
        <f>IF(OR(B25="",D25=""),"",SUMIFS($C$2:$C$201,$B$2:$B$201,B25,$D$2:$D$201,D25))</f>
        <v/>
      </c>
    </row>
    <row r="26">
      <c r="A26" s="46" t="n"/>
      <c r="B26" s="45" t="n"/>
      <c r="C26" s="47" t="n"/>
      <c r="D26" s="45">
        <f>IF(A26="","",TEXT(A26,"yyyy-mm"))</f>
        <v/>
      </c>
      <c r="E26" s="47">
        <f>IF(OR(B26="",D26=""),"",SUMIFS($C$2:$C$201,$B$2:$B$201,B26,$D$2:$D$201,D26))</f>
        <v/>
      </c>
    </row>
    <row r="27">
      <c r="A27" s="46" t="n"/>
      <c r="B27" s="45" t="n"/>
      <c r="C27" s="47" t="n"/>
      <c r="D27" s="45">
        <f>IF(A27="","",TEXT(A27,"yyyy-mm"))</f>
        <v/>
      </c>
      <c r="E27" s="47">
        <f>IF(OR(B27="",D27=""),"",SUMIFS($C$2:$C$201,$B$2:$B$201,B27,$D$2:$D$201,D27))</f>
        <v/>
      </c>
    </row>
    <row r="28">
      <c r="A28" s="46" t="n"/>
      <c r="B28" s="45" t="n"/>
      <c r="C28" s="47" t="n"/>
      <c r="D28" s="45">
        <f>IF(A28="","",TEXT(A28,"yyyy-mm"))</f>
        <v/>
      </c>
      <c r="E28" s="47">
        <f>IF(OR(B28="",D28=""),"",SUMIFS($C$2:$C$201,$B$2:$B$201,B28,$D$2:$D$201,D28))</f>
        <v/>
      </c>
    </row>
    <row r="29">
      <c r="A29" s="46" t="n"/>
      <c r="B29" s="45" t="n"/>
      <c r="C29" s="47" t="n"/>
      <c r="D29" s="45">
        <f>IF(A29="","",TEXT(A29,"yyyy-mm"))</f>
        <v/>
      </c>
      <c r="E29" s="47">
        <f>IF(OR(B29="",D29=""),"",SUMIFS($C$2:$C$201,$B$2:$B$201,B29,$D$2:$D$201,D29))</f>
        <v/>
      </c>
    </row>
    <row r="30">
      <c r="A30" s="46" t="n"/>
      <c r="B30" s="45" t="n"/>
      <c r="C30" s="47" t="n"/>
      <c r="D30" s="45">
        <f>IF(A30="","",TEXT(A30,"yyyy-mm"))</f>
        <v/>
      </c>
      <c r="E30" s="47">
        <f>IF(OR(B30="",D30=""),"",SUMIFS($C$2:$C$201,$B$2:$B$201,B30,$D$2:$D$201,D30))</f>
        <v/>
      </c>
    </row>
    <row r="31">
      <c r="A31" s="46" t="n"/>
      <c r="B31" s="45" t="n"/>
      <c r="C31" s="47" t="n"/>
      <c r="D31" s="45">
        <f>IF(A31="","",TEXT(A31,"yyyy-mm"))</f>
        <v/>
      </c>
      <c r="E31" s="47">
        <f>IF(OR(B31="",D31=""),"",SUMIFS($C$2:$C$201,$B$2:$B$201,B31,$D$2:$D$201,D31))</f>
        <v/>
      </c>
    </row>
    <row r="32">
      <c r="A32" s="46" t="n"/>
      <c r="B32" s="45" t="n"/>
      <c r="C32" s="47" t="n"/>
      <c r="D32" s="45">
        <f>IF(A32="","",TEXT(A32,"yyyy-mm"))</f>
        <v/>
      </c>
      <c r="E32" s="47">
        <f>IF(OR(B32="",D32=""),"",SUMIFS($C$2:$C$201,$B$2:$B$201,B32,$D$2:$D$201,D32))</f>
        <v/>
      </c>
    </row>
    <row r="33">
      <c r="A33" s="46" t="n"/>
      <c r="B33" s="45" t="n"/>
      <c r="C33" s="47" t="n"/>
      <c r="D33" s="45">
        <f>IF(A33="","",TEXT(A33,"yyyy-mm"))</f>
        <v/>
      </c>
      <c r="E33" s="47">
        <f>IF(OR(B33="",D33=""),"",SUMIFS($C$2:$C$201,$B$2:$B$201,B33,$D$2:$D$201,D33))</f>
        <v/>
      </c>
    </row>
    <row r="34">
      <c r="A34" s="46" t="n"/>
      <c r="B34" s="45" t="n"/>
      <c r="C34" s="47" t="n"/>
      <c r="D34" s="45">
        <f>IF(A34="","",TEXT(A34,"yyyy-mm"))</f>
        <v/>
      </c>
      <c r="E34" s="47">
        <f>IF(OR(B34="",D34=""),"",SUMIFS($C$2:$C$201,$B$2:$B$201,B34,$D$2:$D$201,D34))</f>
        <v/>
      </c>
    </row>
    <row r="35">
      <c r="A35" s="46" t="n"/>
      <c r="B35" s="45" t="n"/>
      <c r="C35" s="47" t="n"/>
      <c r="D35" s="45">
        <f>IF(A35="","",TEXT(A35,"yyyy-mm"))</f>
        <v/>
      </c>
      <c r="E35" s="47">
        <f>IF(OR(B35="",D35=""),"",SUMIFS($C$2:$C$201,$B$2:$B$201,B35,$D$2:$D$201,D35))</f>
        <v/>
      </c>
    </row>
    <row r="36">
      <c r="A36" s="46" t="n"/>
      <c r="B36" s="45" t="n"/>
      <c r="C36" s="47" t="n"/>
      <c r="D36" s="45">
        <f>IF(A36="","",TEXT(A36,"yyyy-mm"))</f>
        <v/>
      </c>
      <c r="E36" s="47">
        <f>IF(OR(B36="",D36=""),"",SUMIFS($C$2:$C$201,$B$2:$B$201,B36,$D$2:$D$201,D36))</f>
        <v/>
      </c>
    </row>
    <row r="37">
      <c r="A37" s="46" t="n"/>
      <c r="B37" s="45" t="n"/>
      <c r="C37" s="47" t="n"/>
      <c r="D37" s="45">
        <f>IF(A37="","",TEXT(A37,"yyyy-mm"))</f>
        <v/>
      </c>
      <c r="E37" s="47">
        <f>IF(OR(B37="",D37=""),"",SUMIFS($C$2:$C$201,$B$2:$B$201,B37,$D$2:$D$201,D37))</f>
        <v/>
      </c>
    </row>
    <row r="38">
      <c r="A38" s="46" t="n"/>
      <c r="B38" s="45" t="n"/>
      <c r="C38" s="47" t="n"/>
      <c r="D38" s="45">
        <f>IF(A38="","",TEXT(A38,"yyyy-mm"))</f>
        <v/>
      </c>
      <c r="E38" s="47">
        <f>IF(OR(B38="",D38=""),"",SUMIFS($C$2:$C$201,$B$2:$B$201,B38,$D$2:$D$201,D38))</f>
        <v/>
      </c>
    </row>
    <row r="39">
      <c r="A39" s="46" t="n"/>
      <c r="B39" s="45" t="n"/>
      <c r="C39" s="47" t="n"/>
      <c r="D39" s="45">
        <f>IF(A39="","",TEXT(A39,"yyyy-mm"))</f>
        <v/>
      </c>
      <c r="E39" s="47">
        <f>IF(OR(B39="",D39=""),"",SUMIFS($C$2:$C$201,$B$2:$B$201,B39,$D$2:$D$201,D39))</f>
        <v/>
      </c>
    </row>
    <row r="40">
      <c r="A40" s="46" t="n"/>
      <c r="B40" s="45" t="n"/>
      <c r="C40" s="47" t="n"/>
      <c r="D40" s="45">
        <f>IF(A40="","",TEXT(A40,"yyyy-mm"))</f>
        <v/>
      </c>
      <c r="E40" s="47">
        <f>IF(OR(B40="",D40=""),"",SUMIFS($C$2:$C$201,$B$2:$B$201,B40,$D$2:$D$201,D40))</f>
        <v/>
      </c>
    </row>
    <row r="41">
      <c r="A41" s="46" t="n"/>
      <c r="B41" s="45" t="n"/>
      <c r="C41" s="47" t="n"/>
      <c r="D41" s="45">
        <f>IF(A41="","",TEXT(A41,"yyyy-mm"))</f>
        <v/>
      </c>
      <c r="E41" s="47">
        <f>IF(OR(B41="",D41=""),"",SUMIFS($C$2:$C$201,$B$2:$B$201,B41,$D$2:$D$201,D41))</f>
        <v/>
      </c>
    </row>
    <row r="42">
      <c r="A42" s="46" t="n"/>
      <c r="B42" s="45" t="n"/>
      <c r="C42" s="47" t="n"/>
      <c r="D42" s="45">
        <f>IF(A42="","",TEXT(A42,"yyyy-mm"))</f>
        <v/>
      </c>
      <c r="E42" s="47">
        <f>IF(OR(B42="",D42=""),"",SUMIFS($C$2:$C$201,$B$2:$B$201,B42,$D$2:$D$201,D42))</f>
        <v/>
      </c>
    </row>
    <row r="43">
      <c r="A43" s="46" t="n"/>
      <c r="B43" s="45" t="n"/>
      <c r="C43" s="47" t="n"/>
      <c r="D43" s="45">
        <f>IF(A43="","",TEXT(A43,"yyyy-mm"))</f>
        <v/>
      </c>
      <c r="E43" s="47">
        <f>IF(OR(B43="",D43=""),"",SUMIFS($C$2:$C$201,$B$2:$B$201,B43,$D$2:$D$201,D43))</f>
        <v/>
      </c>
    </row>
    <row r="44">
      <c r="A44" s="46" t="n"/>
      <c r="B44" s="45" t="n"/>
      <c r="C44" s="47" t="n"/>
      <c r="D44" s="45">
        <f>IF(A44="","",TEXT(A44,"yyyy-mm"))</f>
        <v/>
      </c>
      <c r="E44" s="47">
        <f>IF(OR(B44="",D44=""),"",SUMIFS($C$2:$C$201,$B$2:$B$201,B44,$D$2:$D$201,D44))</f>
        <v/>
      </c>
    </row>
    <row r="45">
      <c r="A45" s="46" t="n"/>
      <c r="B45" s="45" t="n"/>
      <c r="C45" s="47" t="n"/>
      <c r="D45" s="45">
        <f>IF(A45="","",TEXT(A45,"yyyy-mm"))</f>
        <v/>
      </c>
      <c r="E45" s="47">
        <f>IF(OR(B45="",D45=""),"",SUMIFS($C$2:$C$201,$B$2:$B$201,B45,$D$2:$D$201,D45))</f>
        <v/>
      </c>
    </row>
    <row r="46">
      <c r="A46" s="46" t="n"/>
      <c r="B46" s="45" t="n"/>
      <c r="C46" s="47" t="n"/>
      <c r="D46" s="45">
        <f>IF(A46="","",TEXT(A46,"yyyy-mm"))</f>
        <v/>
      </c>
      <c r="E46" s="47">
        <f>IF(OR(B46="",D46=""),"",SUMIFS($C$2:$C$201,$B$2:$B$201,B46,$D$2:$D$201,D46))</f>
        <v/>
      </c>
    </row>
    <row r="47">
      <c r="A47" s="46" t="n"/>
      <c r="B47" s="45" t="n"/>
      <c r="C47" s="47" t="n"/>
      <c r="D47" s="45">
        <f>IF(A47="","",TEXT(A47,"yyyy-mm"))</f>
        <v/>
      </c>
      <c r="E47" s="47">
        <f>IF(OR(B47="",D47=""),"",SUMIFS($C$2:$C$201,$B$2:$B$201,B47,$D$2:$D$201,D47))</f>
        <v/>
      </c>
    </row>
    <row r="48">
      <c r="A48" s="46" t="n"/>
      <c r="B48" s="45" t="n"/>
      <c r="C48" s="47" t="n"/>
      <c r="D48" s="45">
        <f>IF(A48="","",TEXT(A48,"yyyy-mm"))</f>
        <v/>
      </c>
      <c r="E48" s="47">
        <f>IF(OR(B48="",D48=""),"",SUMIFS($C$2:$C$201,$B$2:$B$201,B48,$D$2:$D$201,D48))</f>
        <v/>
      </c>
    </row>
    <row r="49">
      <c r="A49" s="46" t="n"/>
      <c r="B49" s="45" t="n"/>
      <c r="C49" s="47" t="n"/>
      <c r="D49" s="45">
        <f>IF(A49="","",TEXT(A49,"yyyy-mm"))</f>
        <v/>
      </c>
      <c r="E49" s="47">
        <f>IF(OR(B49="",D49=""),"",SUMIFS($C$2:$C$201,$B$2:$B$201,B49,$D$2:$D$201,D49))</f>
        <v/>
      </c>
    </row>
    <row r="50">
      <c r="A50" s="46" t="n"/>
      <c r="B50" s="45" t="n"/>
      <c r="C50" s="47" t="n"/>
      <c r="D50" s="45">
        <f>IF(A50="","",TEXT(A50,"yyyy-mm"))</f>
        <v/>
      </c>
      <c r="E50" s="47">
        <f>IF(OR(B50="",D50=""),"",SUMIFS($C$2:$C$201,$B$2:$B$201,B50,$D$2:$D$201,D50))</f>
        <v/>
      </c>
    </row>
    <row r="51">
      <c r="A51" s="46" t="n"/>
      <c r="B51" s="45" t="n"/>
      <c r="C51" s="47" t="n"/>
      <c r="D51" s="45">
        <f>IF(A51="","",TEXT(A51,"yyyy-mm"))</f>
        <v/>
      </c>
      <c r="E51" s="47">
        <f>IF(OR(B51="",D51=""),"",SUMIFS($C$2:$C$201,$B$2:$B$201,B51,$D$2:$D$201,D51))</f>
        <v/>
      </c>
    </row>
    <row r="52">
      <c r="A52" s="46" t="n"/>
      <c r="B52" s="45" t="n"/>
      <c r="C52" s="47" t="n"/>
      <c r="D52" s="45">
        <f>IF(A52="","",TEXT(A52,"yyyy-mm"))</f>
        <v/>
      </c>
      <c r="E52" s="47">
        <f>IF(OR(B52="",D52=""),"",SUMIFS($C$2:$C$201,$B$2:$B$201,B52,$D$2:$D$201,D52))</f>
        <v/>
      </c>
    </row>
    <row r="53">
      <c r="A53" s="46" t="n"/>
      <c r="B53" s="45" t="n"/>
      <c r="C53" s="47" t="n"/>
      <c r="D53" s="45">
        <f>IF(A53="","",TEXT(A53,"yyyy-mm"))</f>
        <v/>
      </c>
      <c r="E53" s="47">
        <f>IF(OR(B53="",D53=""),"",SUMIFS($C$2:$C$201,$B$2:$B$201,B53,$D$2:$D$201,D53))</f>
        <v/>
      </c>
    </row>
    <row r="54">
      <c r="A54" s="46" t="n"/>
      <c r="B54" s="45" t="n"/>
      <c r="C54" s="47" t="n"/>
      <c r="D54" s="45">
        <f>IF(A54="","",TEXT(A54,"yyyy-mm"))</f>
        <v/>
      </c>
      <c r="E54" s="47">
        <f>IF(OR(B54="",D54=""),"",SUMIFS($C$2:$C$201,$B$2:$B$201,B54,$D$2:$D$201,D54))</f>
        <v/>
      </c>
    </row>
    <row r="55">
      <c r="A55" s="46" t="n"/>
      <c r="B55" s="45" t="n"/>
      <c r="C55" s="47" t="n"/>
      <c r="D55" s="45">
        <f>IF(A55="","",TEXT(A55,"yyyy-mm"))</f>
        <v/>
      </c>
      <c r="E55" s="47">
        <f>IF(OR(B55="",D55=""),"",SUMIFS($C$2:$C$201,$B$2:$B$201,B55,$D$2:$D$201,D55))</f>
        <v/>
      </c>
    </row>
    <row r="56">
      <c r="A56" s="46" t="n"/>
      <c r="B56" s="45" t="n"/>
      <c r="C56" s="47" t="n"/>
      <c r="D56" s="45">
        <f>IF(A56="","",TEXT(A56,"yyyy-mm"))</f>
        <v/>
      </c>
      <c r="E56" s="47">
        <f>IF(OR(B56="",D56=""),"",SUMIFS($C$2:$C$201,$B$2:$B$201,B56,$D$2:$D$201,D56))</f>
        <v/>
      </c>
    </row>
    <row r="57">
      <c r="A57" s="46" t="n"/>
      <c r="B57" s="45" t="n"/>
      <c r="C57" s="47" t="n"/>
      <c r="D57" s="45">
        <f>IF(A57="","",TEXT(A57,"yyyy-mm"))</f>
        <v/>
      </c>
      <c r="E57" s="47">
        <f>IF(OR(B57="",D57=""),"",SUMIFS($C$2:$C$201,$B$2:$B$201,B57,$D$2:$D$201,D57))</f>
        <v/>
      </c>
    </row>
    <row r="58">
      <c r="A58" s="46" t="n"/>
      <c r="B58" s="45" t="n"/>
      <c r="C58" s="47" t="n"/>
      <c r="D58" s="45">
        <f>IF(A58="","",TEXT(A58,"yyyy-mm"))</f>
        <v/>
      </c>
      <c r="E58" s="47">
        <f>IF(OR(B58="",D58=""),"",SUMIFS($C$2:$C$201,$B$2:$B$201,B58,$D$2:$D$201,D58))</f>
        <v/>
      </c>
    </row>
    <row r="59">
      <c r="A59" s="46" t="n"/>
      <c r="B59" s="45" t="n"/>
      <c r="C59" s="47" t="n"/>
      <c r="D59" s="45">
        <f>IF(A59="","",TEXT(A59,"yyyy-mm"))</f>
        <v/>
      </c>
      <c r="E59" s="47">
        <f>IF(OR(B59="",D59=""),"",SUMIFS($C$2:$C$201,$B$2:$B$201,B59,$D$2:$D$201,D59))</f>
        <v/>
      </c>
    </row>
    <row r="60">
      <c r="A60" s="46" t="n"/>
      <c r="B60" s="45" t="n"/>
      <c r="C60" s="47" t="n"/>
      <c r="D60" s="45">
        <f>IF(A60="","",TEXT(A60,"yyyy-mm"))</f>
        <v/>
      </c>
      <c r="E60" s="47">
        <f>IF(OR(B60="",D60=""),"",SUMIFS($C$2:$C$201,$B$2:$B$201,B60,$D$2:$D$201,D60))</f>
        <v/>
      </c>
    </row>
    <row r="61">
      <c r="A61" s="46" t="n"/>
      <c r="B61" s="45" t="n"/>
      <c r="C61" s="47" t="n"/>
      <c r="D61" s="45">
        <f>IF(A61="","",TEXT(A61,"yyyy-mm"))</f>
        <v/>
      </c>
      <c r="E61" s="47">
        <f>IF(OR(B61="",D61=""),"",SUMIFS($C$2:$C$201,$B$2:$B$201,B61,$D$2:$D$201,D61))</f>
        <v/>
      </c>
    </row>
    <row r="62">
      <c r="A62" s="46" t="n"/>
      <c r="B62" s="45" t="n"/>
      <c r="C62" s="47" t="n"/>
      <c r="D62" s="45">
        <f>IF(A62="","",TEXT(A62,"yyyy-mm"))</f>
        <v/>
      </c>
      <c r="E62" s="47">
        <f>IF(OR(B62="",D62=""),"",SUMIFS($C$2:$C$201,$B$2:$B$201,B62,$D$2:$D$201,D62))</f>
        <v/>
      </c>
    </row>
    <row r="63">
      <c r="A63" s="46" t="n"/>
      <c r="B63" s="45" t="n"/>
      <c r="C63" s="47" t="n"/>
      <c r="D63" s="45">
        <f>IF(A63="","",TEXT(A63,"yyyy-mm"))</f>
        <v/>
      </c>
      <c r="E63" s="47">
        <f>IF(OR(B63="",D63=""),"",SUMIFS($C$2:$C$201,$B$2:$B$201,B63,$D$2:$D$201,D63))</f>
        <v/>
      </c>
    </row>
    <row r="64">
      <c r="A64" s="46" t="n"/>
      <c r="B64" s="45" t="n"/>
      <c r="C64" s="47" t="n"/>
      <c r="D64" s="45">
        <f>IF(A64="","",TEXT(A64,"yyyy-mm"))</f>
        <v/>
      </c>
      <c r="E64" s="47">
        <f>IF(OR(B64="",D64=""),"",SUMIFS($C$2:$C$201,$B$2:$B$201,B64,$D$2:$D$201,D64))</f>
        <v/>
      </c>
    </row>
    <row r="65">
      <c r="A65" s="46" t="n"/>
      <c r="B65" s="45" t="n"/>
      <c r="C65" s="47" t="n"/>
      <c r="D65" s="45">
        <f>IF(A65="","",TEXT(A65,"yyyy-mm"))</f>
        <v/>
      </c>
      <c r="E65" s="47">
        <f>IF(OR(B65="",D65=""),"",SUMIFS($C$2:$C$201,$B$2:$B$201,B65,$D$2:$D$201,D65))</f>
        <v/>
      </c>
    </row>
    <row r="66">
      <c r="A66" s="46" t="n"/>
      <c r="B66" s="45" t="n"/>
      <c r="C66" s="47" t="n"/>
      <c r="D66" s="45">
        <f>IF(A66="","",TEXT(A66,"yyyy-mm"))</f>
        <v/>
      </c>
      <c r="E66" s="47">
        <f>IF(OR(B66="",D66=""),"",SUMIFS($C$2:$C$201,$B$2:$B$201,B66,$D$2:$D$201,D66))</f>
        <v/>
      </c>
    </row>
    <row r="67">
      <c r="A67" s="46" t="n"/>
      <c r="B67" s="45" t="n"/>
      <c r="C67" s="47" t="n"/>
      <c r="D67" s="45">
        <f>IF(A67="","",TEXT(A67,"yyyy-mm"))</f>
        <v/>
      </c>
      <c r="E67" s="47">
        <f>IF(OR(B67="",D67=""),"",SUMIFS($C$2:$C$201,$B$2:$B$201,B67,$D$2:$D$201,D67))</f>
        <v/>
      </c>
    </row>
    <row r="68">
      <c r="A68" s="46" t="n"/>
      <c r="B68" s="45" t="n"/>
      <c r="C68" s="47" t="n"/>
      <c r="D68" s="45">
        <f>IF(A68="","",TEXT(A68,"yyyy-mm"))</f>
        <v/>
      </c>
      <c r="E68" s="47">
        <f>IF(OR(B68="",D68=""),"",SUMIFS($C$2:$C$201,$B$2:$B$201,B68,$D$2:$D$201,D68))</f>
        <v/>
      </c>
    </row>
    <row r="69">
      <c r="A69" s="46" t="n"/>
      <c r="B69" s="45" t="n"/>
      <c r="C69" s="47" t="n"/>
      <c r="D69" s="45">
        <f>IF(A69="","",TEXT(A69,"yyyy-mm"))</f>
        <v/>
      </c>
      <c r="E69" s="47">
        <f>IF(OR(B69="",D69=""),"",SUMIFS($C$2:$C$201,$B$2:$B$201,B69,$D$2:$D$201,D69))</f>
        <v/>
      </c>
    </row>
    <row r="70">
      <c r="A70" s="46" t="n"/>
      <c r="B70" s="45" t="n"/>
      <c r="C70" s="47" t="n"/>
      <c r="D70" s="45">
        <f>IF(A70="","",TEXT(A70,"yyyy-mm"))</f>
        <v/>
      </c>
      <c r="E70" s="47">
        <f>IF(OR(B70="",D70=""),"",SUMIFS($C$2:$C$201,$B$2:$B$201,B70,$D$2:$D$201,D70))</f>
        <v/>
      </c>
    </row>
    <row r="71">
      <c r="A71" s="46" t="n"/>
      <c r="B71" s="45" t="n"/>
      <c r="C71" s="47" t="n"/>
      <c r="D71" s="45">
        <f>IF(A71="","",TEXT(A71,"yyyy-mm"))</f>
        <v/>
      </c>
      <c r="E71" s="47">
        <f>IF(OR(B71="",D71=""),"",SUMIFS($C$2:$C$201,$B$2:$B$201,B71,$D$2:$D$201,D71))</f>
        <v/>
      </c>
    </row>
    <row r="72">
      <c r="A72" s="46" t="n"/>
      <c r="B72" s="45" t="n"/>
      <c r="C72" s="47" t="n"/>
      <c r="D72" s="45">
        <f>IF(A72="","",TEXT(A72,"yyyy-mm"))</f>
        <v/>
      </c>
      <c r="E72" s="47">
        <f>IF(OR(B72="",D72=""),"",SUMIFS($C$2:$C$201,$B$2:$B$201,B72,$D$2:$D$201,D72))</f>
        <v/>
      </c>
    </row>
    <row r="73">
      <c r="A73" s="46" t="n"/>
      <c r="B73" s="45" t="n"/>
      <c r="C73" s="47" t="n"/>
      <c r="D73" s="45">
        <f>IF(A73="","",TEXT(A73,"yyyy-mm"))</f>
        <v/>
      </c>
      <c r="E73" s="47">
        <f>IF(OR(B73="",D73=""),"",SUMIFS($C$2:$C$201,$B$2:$B$201,B73,$D$2:$D$201,D73))</f>
        <v/>
      </c>
    </row>
    <row r="74">
      <c r="A74" s="46" t="n"/>
      <c r="B74" s="45" t="n"/>
      <c r="C74" s="47" t="n"/>
      <c r="D74" s="45">
        <f>IF(A74="","",TEXT(A74,"yyyy-mm"))</f>
        <v/>
      </c>
      <c r="E74" s="47">
        <f>IF(OR(B74="",D74=""),"",SUMIFS($C$2:$C$201,$B$2:$B$201,B74,$D$2:$D$201,D74))</f>
        <v/>
      </c>
    </row>
    <row r="75">
      <c r="A75" s="46" t="n"/>
      <c r="B75" s="45" t="n"/>
      <c r="C75" s="47" t="n"/>
      <c r="D75" s="45">
        <f>IF(A75="","",TEXT(A75,"yyyy-mm"))</f>
        <v/>
      </c>
      <c r="E75" s="47">
        <f>IF(OR(B75="",D75=""),"",SUMIFS($C$2:$C$201,$B$2:$B$201,B75,$D$2:$D$201,D75))</f>
        <v/>
      </c>
    </row>
    <row r="76">
      <c r="A76" s="46" t="n"/>
      <c r="B76" s="45" t="n"/>
      <c r="C76" s="47" t="n"/>
      <c r="D76" s="45">
        <f>IF(A76="","",TEXT(A76,"yyyy-mm"))</f>
        <v/>
      </c>
      <c r="E76" s="47">
        <f>IF(OR(B76="",D76=""),"",SUMIFS($C$2:$C$201,$B$2:$B$201,B76,$D$2:$D$201,D76))</f>
        <v/>
      </c>
    </row>
    <row r="77">
      <c r="A77" s="46" t="n"/>
      <c r="B77" s="45" t="n"/>
      <c r="C77" s="47" t="n"/>
      <c r="D77" s="45">
        <f>IF(A77="","",TEXT(A77,"yyyy-mm"))</f>
        <v/>
      </c>
      <c r="E77" s="47">
        <f>IF(OR(B77="",D77=""),"",SUMIFS($C$2:$C$201,$B$2:$B$201,B77,$D$2:$D$201,D77))</f>
        <v/>
      </c>
    </row>
    <row r="78">
      <c r="A78" s="46" t="n"/>
      <c r="B78" s="45" t="n"/>
      <c r="C78" s="47" t="n"/>
      <c r="D78" s="45">
        <f>IF(A78="","",TEXT(A78,"yyyy-mm"))</f>
        <v/>
      </c>
      <c r="E78" s="47">
        <f>IF(OR(B78="",D78=""),"",SUMIFS($C$2:$C$201,$B$2:$B$201,B78,$D$2:$D$201,D78))</f>
        <v/>
      </c>
    </row>
    <row r="79">
      <c r="A79" s="46" t="n"/>
      <c r="B79" s="45" t="n"/>
      <c r="C79" s="47" t="n"/>
      <c r="D79" s="45">
        <f>IF(A79="","",TEXT(A79,"yyyy-mm"))</f>
        <v/>
      </c>
      <c r="E79" s="47">
        <f>IF(OR(B79="",D79=""),"",SUMIFS($C$2:$C$201,$B$2:$B$201,B79,$D$2:$D$201,D79))</f>
        <v/>
      </c>
    </row>
    <row r="80">
      <c r="A80" s="46" t="n"/>
      <c r="B80" s="45" t="n"/>
      <c r="C80" s="47" t="n"/>
      <c r="D80" s="45">
        <f>IF(A80="","",TEXT(A80,"yyyy-mm"))</f>
        <v/>
      </c>
      <c r="E80" s="47">
        <f>IF(OR(B80="",D80=""),"",SUMIFS($C$2:$C$201,$B$2:$B$201,B80,$D$2:$D$201,D80))</f>
        <v/>
      </c>
    </row>
    <row r="81">
      <c r="A81" s="46" t="n"/>
      <c r="B81" s="45" t="n"/>
      <c r="C81" s="47" t="n"/>
      <c r="D81" s="45">
        <f>IF(A81="","",TEXT(A81,"yyyy-mm"))</f>
        <v/>
      </c>
      <c r="E81" s="47">
        <f>IF(OR(B81="",D81=""),"",SUMIFS($C$2:$C$201,$B$2:$B$201,B81,$D$2:$D$201,D81))</f>
        <v/>
      </c>
    </row>
    <row r="82">
      <c r="A82" s="46" t="n"/>
      <c r="B82" s="45" t="n"/>
      <c r="C82" s="47" t="n"/>
      <c r="D82" s="45">
        <f>IF(A82="","",TEXT(A82,"yyyy-mm"))</f>
        <v/>
      </c>
      <c r="E82" s="47">
        <f>IF(OR(B82="",D82=""),"",SUMIFS($C$2:$C$201,$B$2:$B$201,B82,$D$2:$D$201,D82))</f>
        <v/>
      </c>
    </row>
    <row r="83">
      <c r="A83" s="46" t="n"/>
      <c r="B83" s="45" t="n"/>
      <c r="C83" s="47" t="n"/>
      <c r="D83" s="45">
        <f>IF(A83="","",TEXT(A83,"yyyy-mm"))</f>
        <v/>
      </c>
      <c r="E83" s="47">
        <f>IF(OR(B83="",D83=""),"",SUMIFS($C$2:$C$201,$B$2:$B$201,B83,$D$2:$D$201,D83))</f>
        <v/>
      </c>
    </row>
    <row r="84">
      <c r="A84" s="46" t="n"/>
      <c r="B84" s="45" t="n"/>
      <c r="C84" s="47" t="n"/>
      <c r="D84" s="45">
        <f>IF(A84="","",TEXT(A84,"yyyy-mm"))</f>
        <v/>
      </c>
      <c r="E84" s="47">
        <f>IF(OR(B84="",D84=""),"",SUMIFS($C$2:$C$201,$B$2:$B$201,B84,$D$2:$D$201,D84))</f>
        <v/>
      </c>
    </row>
    <row r="85">
      <c r="A85" s="46" t="n"/>
      <c r="B85" s="45" t="n"/>
      <c r="C85" s="47" t="n"/>
      <c r="D85" s="45">
        <f>IF(A85="","",TEXT(A85,"yyyy-mm"))</f>
        <v/>
      </c>
      <c r="E85" s="47">
        <f>IF(OR(B85="",D85=""),"",SUMIFS($C$2:$C$201,$B$2:$B$201,B85,$D$2:$D$201,D85))</f>
        <v/>
      </c>
    </row>
    <row r="86">
      <c r="A86" s="46" t="n"/>
      <c r="B86" s="45" t="n"/>
      <c r="C86" s="47" t="n"/>
      <c r="D86" s="45">
        <f>IF(A86="","",TEXT(A86,"yyyy-mm"))</f>
        <v/>
      </c>
      <c r="E86" s="47">
        <f>IF(OR(B86="",D86=""),"",SUMIFS($C$2:$C$201,$B$2:$B$201,B86,$D$2:$D$201,D86))</f>
        <v/>
      </c>
    </row>
    <row r="87">
      <c r="A87" s="46" t="n"/>
      <c r="B87" s="45" t="n"/>
      <c r="C87" s="47" t="n"/>
      <c r="D87" s="45">
        <f>IF(A87="","",TEXT(A87,"yyyy-mm"))</f>
        <v/>
      </c>
      <c r="E87" s="47">
        <f>IF(OR(B87="",D87=""),"",SUMIFS($C$2:$C$201,$B$2:$B$201,B87,$D$2:$D$201,D87))</f>
        <v/>
      </c>
    </row>
    <row r="88">
      <c r="A88" s="46" t="n"/>
      <c r="B88" s="45" t="n"/>
      <c r="C88" s="47" t="n"/>
      <c r="D88" s="45">
        <f>IF(A88="","",TEXT(A88,"yyyy-mm"))</f>
        <v/>
      </c>
      <c r="E88" s="47">
        <f>IF(OR(B88="",D88=""),"",SUMIFS($C$2:$C$201,$B$2:$B$201,B88,$D$2:$D$201,D88))</f>
        <v/>
      </c>
    </row>
    <row r="89">
      <c r="A89" s="46" t="n"/>
      <c r="B89" s="45" t="n"/>
      <c r="C89" s="47" t="n"/>
      <c r="D89" s="45">
        <f>IF(A89="","",TEXT(A89,"yyyy-mm"))</f>
        <v/>
      </c>
      <c r="E89" s="47">
        <f>IF(OR(B89="",D89=""),"",SUMIFS($C$2:$C$201,$B$2:$B$201,B89,$D$2:$D$201,D89))</f>
        <v/>
      </c>
    </row>
    <row r="90">
      <c r="A90" s="46" t="n"/>
      <c r="B90" s="45" t="n"/>
      <c r="C90" s="47" t="n"/>
      <c r="D90" s="45">
        <f>IF(A90="","",TEXT(A90,"yyyy-mm"))</f>
        <v/>
      </c>
      <c r="E90" s="47">
        <f>IF(OR(B90="",D90=""),"",SUMIFS($C$2:$C$201,$B$2:$B$201,B90,$D$2:$D$201,D90))</f>
        <v/>
      </c>
    </row>
    <row r="91">
      <c r="A91" s="46" t="n"/>
      <c r="B91" s="45" t="n"/>
      <c r="C91" s="47" t="n"/>
      <c r="D91" s="45">
        <f>IF(A91="","",TEXT(A91,"yyyy-mm"))</f>
        <v/>
      </c>
      <c r="E91" s="47">
        <f>IF(OR(B91="",D91=""),"",SUMIFS($C$2:$C$201,$B$2:$B$201,B91,$D$2:$D$201,D91))</f>
        <v/>
      </c>
    </row>
    <row r="92">
      <c r="A92" s="46" t="n"/>
      <c r="B92" s="45" t="n"/>
      <c r="C92" s="47" t="n"/>
      <c r="D92" s="45">
        <f>IF(A92="","",TEXT(A92,"yyyy-mm"))</f>
        <v/>
      </c>
      <c r="E92" s="47">
        <f>IF(OR(B92="",D92=""),"",SUMIFS($C$2:$C$201,$B$2:$B$201,B92,$D$2:$D$201,D92))</f>
        <v/>
      </c>
    </row>
    <row r="93">
      <c r="A93" s="46" t="n"/>
      <c r="B93" s="45" t="n"/>
      <c r="C93" s="47" t="n"/>
      <c r="D93" s="45">
        <f>IF(A93="","",TEXT(A93,"yyyy-mm"))</f>
        <v/>
      </c>
      <c r="E93" s="47">
        <f>IF(OR(B93="",D93=""),"",SUMIFS($C$2:$C$201,$B$2:$B$201,B93,$D$2:$D$201,D93))</f>
        <v/>
      </c>
    </row>
    <row r="94">
      <c r="A94" s="46" t="n"/>
      <c r="B94" s="45" t="n"/>
      <c r="C94" s="47" t="n"/>
      <c r="D94" s="45">
        <f>IF(A94="","",TEXT(A94,"yyyy-mm"))</f>
        <v/>
      </c>
      <c r="E94" s="47">
        <f>IF(OR(B94="",D94=""),"",SUMIFS($C$2:$C$201,$B$2:$B$201,B94,$D$2:$D$201,D94))</f>
        <v/>
      </c>
    </row>
    <row r="95">
      <c r="A95" s="46" t="n"/>
      <c r="B95" s="45" t="n"/>
      <c r="C95" s="47" t="n"/>
      <c r="D95" s="45">
        <f>IF(A95="","",TEXT(A95,"yyyy-mm"))</f>
        <v/>
      </c>
      <c r="E95" s="47">
        <f>IF(OR(B95="",D95=""),"",SUMIFS($C$2:$C$201,$B$2:$B$201,B95,$D$2:$D$201,D95))</f>
        <v/>
      </c>
    </row>
    <row r="96">
      <c r="A96" s="46" t="n"/>
      <c r="B96" s="45" t="n"/>
      <c r="C96" s="47" t="n"/>
      <c r="D96" s="45">
        <f>IF(A96="","",TEXT(A96,"yyyy-mm"))</f>
        <v/>
      </c>
      <c r="E96" s="47">
        <f>IF(OR(B96="",D96=""),"",SUMIFS($C$2:$C$201,$B$2:$B$201,B96,$D$2:$D$201,D96))</f>
        <v/>
      </c>
    </row>
    <row r="97">
      <c r="A97" s="46" t="n"/>
      <c r="B97" s="45" t="n"/>
      <c r="C97" s="47" t="n"/>
      <c r="D97" s="45">
        <f>IF(A97="","",TEXT(A97,"yyyy-mm"))</f>
        <v/>
      </c>
      <c r="E97" s="47">
        <f>IF(OR(B97="",D97=""),"",SUMIFS($C$2:$C$201,$B$2:$B$201,B97,$D$2:$D$201,D97))</f>
        <v/>
      </c>
    </row>
    <row r="98">
      <c r="A98" s="46" t="n"/>
      <c r="B98" s="45" t="n"/>
      <c r="C98" s="47" t="n"/>
      <c r="D98" s="45">
        <f>IF(A98="","",TEXT(A98,"yyyy-mm"))</f>
        <v/>
      </c>
      <c r="E98" s="47">
        <f>IF(OR(B98="",D98=""),"",SUMIFS($C$2:$C$201,$B$2:$B$201,B98,$D$2:$D$201,D98))</f>
        <v/>
      </c>
    </row>
    <row r="99">
      <c r="A99" s="46" t="n"/>
      <c r="B99" s="45" t="n"/>
      <c r="C99" s="47" t="n"/>
      <c r="D99" s="45">
        <f>IF(A99="","",TEXT(A99,"yyyy-mm"))</f>
        <v/>
      </c>
      <c r="E99" s="47">
        <f>IF(OR(B99="",D99=""),"",SUMIFS($C$2:$C$201,$B$2:$B$201,B99,$D$2:$D$201,D99))</f>
        <v/>
      </c>
    </row>
    <row r="100">
      <c r="A100" s="46" t="n"/>
      <c r="B100" s="45" t="n"/>
      <c r="C100" s="47" t="n"/>
      <c r="D100" s="45">
        <f>IF(A100="","",TEXT(A100,"yyyy-mm"))</f>
        <v/>
      </c>
      <c r="E100" s="47">
        <f>IF(OR(B100="",D100=""),"",SUMIFS($C$2:$C$201,$B$2:$B$201,B100,$D$2:$D$201,D100))</f>
        <v/>
      </c>
    </row>
    <row r="101">
      <c r="A101" s="46" t="n"/>
      <c r="B101" s="45" t="n"/>
      <c r="C101" s="47" t="n"/>
      <c r="D101" s="45">
        <f>IF(A101="","",TEXT(A101,"yyyy-mm"))</f>
        <v/>
      </c>
      <c r="E101" s="47">
        <f>IF(OR(B101="",D101=""),"",SUMIFS($C$2:$C$201,$B$2:$B$201,B101,$D$2:$D$201,D101))</f>
        <v/>
      </c>
    </row>
    <row r="102">
      <c r="A102" s="46" t="n"/>
      <c r="B102" s="45" t="n"/>
      <c r="C102" s="47" t="n"/>
      <c r="D102" s="45">
        <f>IF(A102="","",TEXT(A102,"yyyy-mm"))</f>
        <v/>
      </c>
      <c r="E102" s="47">
        <f>IF(OR(B102="",D102=""),"",SUMIFS($C$2:$C$201,$B$2:$B$201,B102,$D$2:$D$201,D102))</f>
        <v/>
      </c>
    </row>
    <row r="103">
      <c r="A103" s="46" t="n"/>
      <c r="B103" s="45" t="n"/>
      <c r="C103" s="47" t="n"/>
      <c r="D103" s="45">
        <f>IF(A103="","",TEXT(A103,"yyyy-mm"))</f>
        <v/>
      </c>
      <c r="E103" s="47">
        <f>IF(OR(B103="",D103=""),"",SUMIFS($C$2:$C$201,$B$2:$B$201,B103,$D$2:$D$201,D103))</f>
        <v/>
      </c>
    </row>
    <row r="104">
      <c r="A104" s="46" t="n"/>
      <c r="B104" s="45" t="n"/>
      <c r="C104" s="47" t="n"/>
      <c r="D104" s="45">
        <f>IF(A104="","",TEXT(A104,"yyyy-mm"))</f>
        <v/>
      </c>
      <c r="E104" s="47">
        <f>IF(OR(B104="",D104=""),"",SUMIFS($C$2:$C$201,$B$2:$B$201,B104,$D$2:$D$201,D104))</f>
        <v/>
      </c>
    </row>
    <row r="105">
      <c r="A105" s="46" t="n"/>
      <c r="B105" s="45" t="n"/>
      <c r="C105" s="47" t="n"/>
      <c r="D105" s="45">
        <f>IF(A105="","",TEXT(A105,"yyyy-mm"))</f>
        <v/>
      </c>
      <c r="E105" s="47">
        <f>IF(OR(B105="",D105=""),"",SUMIFS($C$2:$C$201,$B$2:$B$201,B105,$D$2:$D$201,D105))</f>
        <v/>
      </c>
    </row>
    <row r="106">
      <c r="A106" s="46" t="n"/>
      <c r="B106" s="45" t="n"/>
      <c r="C106" s="47" t="n"/>
      <c r="D106" s="45">
        <f>IF(A106="","",TEXT(A106,"yyyy-mm"))</f>
        <v/>
      </c>
      <c r="E106" s="47">
        <f>IF(OR(B106="",D106=""),"",SUMIFS($C$2:$C$201,$B$2:$B$201,B106,$D$2:$D$201,D106))</f>
        <v/>
      </c>
    </row>
    <row r="107">
      <c r="A107" s="46" t="n"/>
      <c r="B107" s="45" t="n"/>
      <c r="C107" s="47" t="n"/>
      <c r="D107" s="45">
        <f>IF(A107="","",TEXT(A107,"yyyy-mm"))</f>
        <v/>
      </c>
      <c r="E107" s="47">
        <f>IF(OR(B107="",D107=""),"",SUMIFS($C$2:$C$201,$B$2:$B$201,B107,$D$2:$D$201,D107))</f>
        <v/>
      </c>
    </row>
    <row r="108">
      <c r="A108" s="46" t="n"/>
      <c r="B108" s="45" t="n"/>
      <c r="C108" s="47" t="n"/>
      <c r="D108" s="45">
        <f>IF(A108="","",TEXT(A108,"yyyy-mm"))</f>
        <v/>
      </c>
      <c r="E108" s="47">
        <f>IF(OR(B108="",D108=""),"",SUMIFS($C$2:$C$201,$B$2:$B$201,B108,$D$2:$D$201,D108))</f>
        <v/>
      </c>
    </row>
    <row r="109">
      <c r="A109" s="46" t="n"/>
      <c r="B109" s="45" t="n"/>
      <c r="C109" s="47" t="n"/>
      <c r="D109" s="45">
        <f>IF(A109="","",TEXT(A109,"yyyy-mm"))</f>
        <v/>
      </c>
      <c r="E109" s="47">
        <f>IF(OR(B109="",D109=""),"",SUMIFS($C$2:$C$201,$B$2:$B$201,B109,$D$2:$D$201,D109))</f>
        <v/>
      </c>
    </row>
    <row r="110">
      <c r="A110" s="46" t="n"/>
      <c r="B110" s="45" t="n"/>
      <c r="C110" s="47" t="n"/>
      <c r="D110" s="45">
        <f>IF(A110="","",TEXT(A110,"yyyy-mm"))</f>
        <v/>
      </c>
      <c r="E110" s="47">
        <f>IF(OR(B110="",D110=""),"",SUMIFS($C$2:$C$201,$B$2:$B$201,B110,$D$2:$D$201,D110))</f>
        <v/>
      </c>
    </row>
    <row r="111">
      <c r="A111" s="46" t="n"/>
      <c r="B111" s="45" t="n"/>
      <c r="C111" s="47" t="n"/>
      <c r="D111" s="45">
        <f>IF(A111="","",TEXT(A111,"yyyy-mm"))</f>
        <v/>
      </c>
      <c r="E111" s="47">
        <f>IF(OR(B111="",D111=""),"",SUMIFS($C$2:$C$201,$B$2:$B$201,B111,$D$2:$D$201,D111))</f>
        <v/>
      </c>
    </row>
    <row r="112">
      <c r="A112" s="46" t="n"/>
      <c r="B112" s="45" t="n"/>
      <c r="C112" s="47" t="n"/>
      <c r="D112" s="45">
        <f>IF(A112="","",TEXT(A112,"yyyy-mm"))</f>
        <v/>
      </c>
      <c r="E112" s="47">
        <f>IF(OR(B112="",D112=""),"",SUMIFS($C$2:$C$201,$B$2:$B$201,B112,$D$2:$D$201,D112))</f>
        <v/>
      </c>
    </row>
    <row r="113">
      <c r="A113" s="46" t="n"/>
      <c r="B113" s="45" t="n"/>
      <c r="C113" s="47" t="n"/>
      <c r="D113" s="45">
        <f>IF(A113="","",TEXT(A113,"yyyy-mm"))</f>
        <v/>
      </c>
      <c r="E113" s="47">
        <f>IF(OR(B113="",D113=""),"",SUMIFS($C$2:$C$201,$B$2:$B$201,B113,$D$2:$D$201,D113))</f>
        <v/>
      </c>
    </row>
    <row r="114">
      <c r="A114" s="46" t="n"/>
      <c r="B114" s="45" t="n"/>
      <c r="C114" s="47" t="n"/>
      <c r="D114" s="45">
        <f>IF(A114="","",TEXT(A114,"yyyy-mm"))</f>
        <v/>
      </c>
      <c r="E114" s="47">
        <f>IF(OR(B114="",D114=""),"",SUMIFS($C$2:$C$201,$B$2:$B$201,B114,$D$2:$D$201,D114))</f>
        <v/>
      </c>
    </row>
    <row r="115">
      <c r="A115" s="46" t="n"/>
      <c r="B115" s="45" t="n"/>
      <c r="C115" s="47" t="n"/>
      <c r="D115" s="45">
        <f>IF(A115="","",TEXT(A115,"yyyy-mm"))</f>
        <v/>
      </c>
      <c r="E115" s="47">
        <f>IF(OR(B115="",D115=""),"",SUMIFS($C$2:$C$201,$B$2:$B$201,B115,$D$2:$D$201,D115))</f>
        <v/>
      </c>
    </row>
    <row r="116">
      <c r="A116" s="46" t="n"/>
      <c r="B116" s="45" t="n"/>
      <c r="C116" s="47" t="n"/>
      <c r="D116" s="45">
        <f>IF(A116="","",TEXT(A116,"yyyy-mm"))</f>
        <v/>
      </c>
      <c r="E116" s="47">
        <f>IF(OR(B116="",D116=""),"",SUMIFS($C$2:$C$201,$B$2:$B$201,B116,$D$2:$D$201,D116))</f>
        <v/>
      </c>
    </row>
    <row r="117">
      <c r="A117" s="46" t="n"/>
      <c r="B117" s="45" t="n"/>
      <c r="C117" s="47" t="n"/>
      <c r="D117" s="45">
        <f>IF(A117="","",TEXT(A117,"yyyy-mm"))</f>
        <v/>
      </c>
      <c r="E117" s="47">
        <f>IF(OR(B117="",D117=""),"",SUMIFS($C$2:$C$201,$B$2:$B$201,B117,$D$2:$D$201,D117))</f>
        <v/>
      </c>
    </row>
    <row r="118">
      <c r="A118" s="46" t="n"/>
      <c r="B118" s="45" t="n"/>
      <c r="C118" s="47" t="n"/>
      <c r="D118" s="45">
        <f>IF(A118="","",TEXT(A118,"yyyy-mm"))</f>
        <v/>
      </c>
      <c r="E118" s="47">
        <f>IF(OR(B118="",D118=""),"",SUMIFS($C$2:$C$201,$B$2:$B$201,B118,$D$2:$D$201,D118))</f>
        <v/>
      </c>
    </row>
    <row r="119">
      <c r="A119" s="46" t="n"/>
      <c r="B119" s="45" t="n"/>
      <c r="C119" s="47" t="n"/>
      <c r="D119" s="45">
        <f>IF(A119="","",TEXT(A119,"yyyy-mm"))</f>
        <v/>
      </c>
      <c r="E119" s="47">
        <f>IF(OR(B119="",D119=""),"",SUMIFS($C$2:$C$201,$B$2:$B$201,B119,$D$2:$D$201,D119))</f>
        <v/>
      </c>
    </row>
    <row r="120">
      <c r="A120" s="46" t="n"/>
      <c r="B120" s="45" t="n"/>
      <c r="C120" s="47" t="n"/>
      <c r="D120" s="45">
        <f>IF(A120="","",TEXT(A120,"yyyy-mm"))</f>
        <v/>
      </c>
      <c r="E120" s="47">
        <f>IF(OR(B120="",D120=""),"",SUMIFS($C$2:$C$201,$B$2:$B$201,B120,$D$2:$D$201,D120))</f>
        <v/>
      </c>
    </row>
    <row r="121">
      <c r="A121" s="46" t="n"/>
      <c r="B121" s="45" t="n"/>
      <c r="C121" s="47" t="n"/>
      <c r="D121" s="45">
        <f>IF(A121="","",TEXT(A121,"yyyy-mm"))</f>
        <v/>
      </c>
      <c r="E121" s="47">
        <f>IF(OR(B121="",D121=""),"",SUMIFS($C$2:$C$201,$B$2:$B$201,B121,$D$2:$D$201,D121))</f>
        <v/>
      </c>
    </row>
    <row r="122">
      <c r="A122" s="46" t="n"/>
      <c r="B122" s="45" t="n"/>
      <c r="C122" s="47" t="n"/>
      <c r="D122" s="45">
        <f>IF(A122="","",TEXT(A122,"yyyy-mm"))</f>
        <v/>
      </c>
      <c r="E122" s="47">
        <f>IF(OR(B122="",D122=""),"",SUMIFS($C$2:$C$201,$B$2:$B$201,B122,$D$2:$D$201,D122))</f>
        <v/>
      </c>
    </row>
    <row r="123">
      <c r="A123" s="46" t="n"/>
      <c r="B123" s="45" t="n"/>
      <c r="C123" s="47" t="n"/>
      <c r="D123" s="45">
        <f>IF(A123="","",TEXT(A123,"yyyy-mm"))</f>
        <v/>
      </c>
      <c r="E123" s="47">
        <f>IF(OR(B123="",D123=""),"",SUMIFS($C$2:$C$201,$B$2:$B$201,B123,$D$2:$D$201,D123))</f>
        <v/>
      </c>
    </row>
    <row r="124">
      <c r="A124" s="46" t="n"/>
      <c r="B124" s="45" t="n"/>
      <c r="C124" s="47" t="n"/>
      <c r="D124" s="45">
        <f>IF(A124="","",TEXT(A124,"yyyy-mm"))</f>
        <v/>
      </c>
      <c r="E124" s="47">
        <f>IF(OR(B124="",D124=""),"",SUMIFS($C$2:$C$201,$B$2:$B$201,B124,$D$2:$D$201,D124))</f>
        <v/>
      </c>
    </row>
    <row r="125">
      <c r="A125" s="46" t="n"/>
      <c r="B125" s="45" t="n"/>
      <c r="C125" s="47" t="n"/>
      <c r="D125" s="45">
        <f>IF(A125="","",TEXT(A125,"yyyy-mm"))</f>
        <v/>
      </c>
      <c r="E125" s="47">
        <f>IF(OR(B125="",D125=""),"",SUMIFS($C$2:$C$201,$B$2:$B$201,B125,$D$2:$D$201,D125))</f>
        <v/>
      </c>
    </row>
    <row r="126">
      <c r="A126" s="46" t="n"/>
      <c r="B126" s="45" t="n"/>
      <c r="C126" s="47" t="n"/>
      <c r="D126" s="45">
        <f>IF(A126="","",TEXT(A126,"yyyy-mm"))</f>
        <v/>
      </c>
      <c r="E126" s="47">
        <f>IF(OR(B126="",D126=""),"",SUMIFS($C$2:$C$201,$B$2:$B$201,B126,$D$2:$D$201,D126))</f>
        <v/>
      </c>
    </row>
    <row r="127">
      <c r="A127" s="46" t="n"/>
      <c r="B127" s="45" t="n"/>
      <c r="C127" s="47" t="n"/>
      <c r="D127" s="45">
        <f>IF(A127="","",TEXT(A127,"yyyy-mm"))</f>
        <v/>
      </c>
      <c r="E127" s="47">
        <f>IF(OR(B127="",D127=""),"",SUMIFS($C$2:$C$201,$B$2:$B$201,B127,$D$2:$D$201,D127))</f>
        <v/>
      </c>
    </row>
    <row r="128">
      <c r="A128" s="46" t="n"/>
      <c r="B128" s="45" t="n"/>
      <c r="C128" s="47" t="n"/>
      <c r="D128" s="45">
        <f>IF(A128="","",TEXT(A128,"yyyy-mm"))</f>
        <v/>
      </c>
      <c r="E128" s="47">
        <f>IF(OR(B128="",D128=""),"",SUMIFS($C$2:$C$201,$B$2:$B$201,B128,$D$2:$D$201,D128))</f>
        <v/>
      </c>
    </row>
    <row r="129">
      <c r="A129" s="46" t="n"/>
      <c r="B129" s="45" t="n"/>
      <c r="C129" s="47" t="n"/>
      <c r="D129" s="45">
        <f>IF(A129="","",TEXT(A129,"yyyy-mm"))</f>
        <v/>
      </c>
      <c r="E129" s="47">
        <f>IF(OR(B129="",D129=""),"",SUMIFS($C$2:$C$201,$B$2:$B$201,B129,$D$2:$D$201,D129))</f>
        <v/>
      </c>
    </row>
    <row r="130">
      <c r="A130" s="46" t="n"/>
      <c r="B130" s="45" t="n"/>
      <c r="C130" s="47" t="n"/>
      <c r="D130" s="45">
        <f>IF(A130="","",TEXT(A130,"yyyy-mm"))</f>
        <v/>
      </c>
      <c r="E130" s="47">
        <f>IF(OR(B130="",D130=""),"",SUMIFS($C$2:$C$201,$B$2:$B$201,B130,$D$2:$D$201,D130))</f>
        <v/>
      </c>
    </row>
    <row r="131">
      <c r="A131" s="46" t="n"/>
      <c r="B131" s="45" t="n"/>
      <c r="C131" s="47" t="n"/>
      <c r="D131" s="45">
        <f>IF(A131="","",TEXT(A131,"yyyy-mm"))</f>
        <v/>
      </c>
      <c r="E131" s="47">
        <f>IF(OR(B131="",D131=""),"",SUMIFS($C$2:$C$201,$B$2:$B$201,B131,$D$2:$D$201,D131))</f>
        <v/>
      </c>
    </row>
    <row r="132">
      <c r="A132" s="46" t="n"/>
      <c r="B132" s="45" t="n"/>
      <c r="C132" s="47" t="n"/>
      <c r="D132" s="45">
        <f>IF(A132="","",TEXT(A132,"yyyy-mm"))</f>
        <v/>
      </c>
      <c r="E132" s="47">
        <f>IF(OR(B132="",D132=""),"",SUMIFS($C$2:$C$201,$B$2:$B$201,B132,$D$2:$D$201,D132))</f>
        <v/>
      </c>
    </row>
    <row r="133">
      <c r="A133" s="46" t="n"/>
      <c r="B133" s="45" t="n"/>
      <c r="C133" s="47" t="n"/>
      <c r="D133" s="45">
        <f>IF(A133="","",TEXT(A133,"yyyy-mm"))</f>
        <v/>
      </c>
      <c r="E133" s="47">
        <f>IF(OR(B133="",D133=""),"",SUMIFS($C$2:$C$201,$B$2:$B$201,B133,$D$2:$D$201,D133))</f>
        <v/>
      </c>
    </row>
    <row r="134">
      <c r="A134" s="46" t="n"/>
      <c r="B134" s="45" t="n"/>
      <c r="C134" s="47" t="n"/>
      <c r="D134" s="45">
        <f>IF(A134="","",TEXT(A134,"yyyy-mm"))</f>
        <v/>
      </c>
      <c r="E134" s="47">
        <f>IF(OR(B134="",D134=""),"",SUMIFS($C$2:$C$201,$B$2:$B$201,B134,$D$2:$D$201,D134))</f>
        <v/>
      </c>
    </row>
    <row r="135">
      <c r="A135" s="46" t="n"/>
      <c r="B135" s="45" t="n"/>
      <c r="C135" s="47" t="n"/>
      <c r="D135" s="45">
        <f>IF(A135="","",TEXT(A135,"yyyy-mm"))</f>
        <v/>
      </c>
      <c r="E135" s="47">
        <f>IF(OR(B135="",D135=""),"",SUMIFS($C$2:$C$201,$B$2:$B$201,B135,$D$2:$D$201,D135))</f>
        <v/>
      </c>
    </row>
    <row r="136">
      <c r="A136" s="46" t="n"/>
      <c r="B136" s="45" t="n"/>
      <c r="C136" s="47" t="n"/>
      <c r="D136" s="45">
        <f>IF(A136="","",TEXT(A136,"yyyy-mm"))</f>
        <v/>
      </c>
      <c r="E136" s="47">
        <f>IF(OR(B136="",D136=""),"",SUMIFS($C$2:$C$201,$B$2:$B$201,B136,$D$2:$D$201,D136))</f>
        <v/>
      </c>
    </row>
    <row r="137">
      <c r="A137" s="46" t="n"/>
      <c r="B137" s="45" t="n"/>
      <c r="C137" s="47" t="n"/>
      <c r="D137" s="45">
        <f>IF(A137="","",TEXT(A137,"yyyy-mm"))</f>
        <v/>
      </c>
      <c r="E137" s="47">
        <f>IF(OR(B137="",D137=""),"",SUMIFS($C$2:$C$201,$B$2:$B$201,B137,$D$2:$D$201,D137))</f>
        <v/>
      </c>
    </row>
    <row r="138">
      <c r="A138" s="46" t="n"/>
      <c r="B138" s="45" t="n"/>
      <c r="C138" s="47" t="n"/>
      <c r="D138" s="45">
        <f>IF(A138="","",TEXT(A138,"yyyy-mm"))</f>
        <v/>
      </c>
      <c r="E138" s="47">
        <f>IF(OR(B138="",D138=""),"",SUMIFS($C$2:$C$201,$B$2:$B$201,B138,$D$2:$D$201,D138))</f>
        <v/>
      </c>
    </row>
    <row r="139">
      <c r="A139" s="46" t="n"/>
      <c r="B139" s="45" t="n"/>
      <c r="C139" s="47" t="n"/>
      <c r="D139" s="45">
        <f>IF(A139="","",TEXT(A139,"yyyy-mm"))</f>
        <v/>
      </c>
      <c r="E139" s="47">
        <f>IF(OR(B139="",D139=""),"",SUMIFS($C$2:$C$201,$B$2:$B$201,B139,$D$2:$D$201,D139))</f>
        <v/>
      </c>
    </row>
    <row r="140">
      <c r="A140" s="46" t="n"/>
      <c r="B140" s="45" t="n"/>
      <c r="C140" s="47" t="n"/>
      <c r="D140" s="45">
        <f>IF(A140="","",TEXT(A140,"yyyy-mm"))</f>
        <v/>
      </c>
      <c r="E140" s="47">
        <f>IF(OR(B140="",D140=""),"",SUMIFS($C$2:$C$201,$B$2:$B$201,B140,$D$2:$D$201,D140))</f>
        <v/>
      </c>
    </row>
    <row r="141">
      <c r="A141" s="46" t="n"/>
      <c r="B141" s="45" t="n"/>
      <c r="C141" s="47" t="n"/>
      <c r="D141" s="45">
        <f>IF(A141="","",TEXT(A141,"yyyy-mm"))</f>
        <v/>
      </c>
      <c r="E141" s="47">
        <f>IF(OR(B141="",D141=""),"",SUMIFS($C$2:$C$201,$B$2:$B$201,B141,$D$2:$D$201,D141))</f>
        <v/>
      </c>
    </row>
    <row r="142">
      <c r="A142" s="46" t="n"/>
      <c r="B142" s="45" t="n"/>
      <c r="C142" s="47" t="n"/>
      <c r="D142" s="45">
        <f>IF(A142="","",TEXT(A142,"yyyy-mm"))</f>
        <v/>
      </c>
      <c r="E142" s="47">
        <f>IF(OR(B142="",D142=""),"",SUMIFS($C$2:$C$201,$B$2:$B$201,B142,$D$2:$D$201,D142))</f>
        <v/>
      </c>
    </row>
    <row r="143">
      <c r="A143" s="46" t="n"/>
      <c r="B143" s="45" t="n"/>
      <c r="C143" s="47" t="n"/>
      <c r="D143" s="45">
        <f>IF(A143="","",TEXT(A143,"yyyy-mm"))</f>
        <v/>
      </c>
      <c r="E143" s="47">
        <f>IF(OR(B143="",D143=""),"",SUMIFS($C$2:$C$201,$B$2:$B$201,B143,$D$2:$D$201,D143))</f>
        <v/>
      </c>
    </row>
    <row r="144">
      <c r="A144" s="46" t="n"/>
      <c r="B144" s="45" t="n"/>
      <c r="C144" s="47" t="n"/>
      <c r="D144" s="45">
        <f>IF(A144="","",TEXT(A144,"yyyy-mm"))</f>
        <v/>
      </c>
      <c r="E144" s="47">
        <f>IF(OR(B144="",D144=""),"",SUMIFS($C$2:$C$201,$B$2:$B$201,B144,$D$2:$D$201,D144))</f>
        <v/>
      </c>
    </row>
    <row r="145">
      <c r="A145" s="46" t="n"/>
      <c r="B145" s="45" t="n"/>
      <c r="C145" s="47" t="n"/>
      <c r="D145" s="45">
        <f>IF(A145="","",TEXT(A145,"yyyy-mm"))</f>
        <v/>
      </c>
      <c r="E145" s="47">
        <f>IF(OR(B145="",D145=""),"",SUMIFS($C$2:$C$201,$B$2:$B$201,B145,$D$2:$D$201,D145))</f>
        <v/>
      </c>
    </row>
    <row r="146">
      <c r="A146" s="46" t="n"/>
      <c r="B146" s="45" t="n"/>
      <c r="C146" s="47" t="n"/>
      <c r="D146" s="45">
        <f>IF(A146="","",TEXT(A146,"yyyy-mm"))</f>
        <v/>
      </c>
      <c r="E146" s="47">
        <f>IF(OR(B146="",D146=""),"",SUMIFS($C$2:$C$201,$B$2:$B$201,B146,$D$2:$D$201,D146))</f>
        <v/>
      </c>
    </row>
    <row r="147">
      <c r="A147" s="46" t="n"/>
      <c r="B147" s="45" t="n"/>
      <c r="C147" s="47" t="n"/>
      <c r="D147" s="45">
        <f>IF(A147="","",TEXT(A147,"yyyy-mm"))</f>
        <v/>
      </c>
      <c r="E147" s="47">
        <f>IF(OR(B147="",D147=""),"",SUMIFS($C$2:$C$201,$B$2:$B$201,B147,$D$2:$D$201,D147))</f>
        <v/>
      </c>
    </row>
    <row r="148">
      <c r="A148" s="46" t="n"/>
      <c r="B148" s="45" t="n"/>
      <c r="C148" s="47" t="n"/>
      <c r="D148" s="45">
        <f>IF(A148="","",TEXT(A148,"yyyy-mm"))</f>
        <v/>
      </c>
      <c r="E148" s="47">
        <f>IF(OR(B148="",D148=""),"",SUMIFS($C$2:$C$201,$B$2:$B$201,B148,$D$2:$D$201,D148))</f>
        <v/>
      </c>
    </row>
    <row r="149">
      <c r="A149" s="46" t="n"/>
      <c r="B149" s="45" t="n"/>
      <c r="C149" s="47" t="n"/>
      <c r="D149" s="45">
        <f>IF(A149="","",TEXT(A149,"yyyy-mm"))</f>
        <v/>
      </c>
      <c r="E149" s="47">
        <f>IF(OR(B149="",D149=""),"",SUMIFS($C$2:$C$201,$B$2:$B$201,B149,$D$2:$D$201,D149))</f>
        <v/>
      </c>
    </row>
    <row r="150">
      <c r="A150" s="46" t="n"/>
      <c r="B150" s="45" t="n"/>
      <c r="C150" s="47" t="n"/>
      <c r="D150" s="45">
        <f>IF(A150="","",TEXT(A150,"yyyy-mm"))</f>
        <v/>
      </c>
      <c r="E150" s="47">
        <f>IF(OR(B150="",D150=""),"",SUMIFS($C$2:$C$201,$B$2:$B$201,B150,$D$2:$D$201,D150))</f>
        <v/>
      </c>
    </row>
    <row r="151">
      <c r="A151" s="46" t="n"/>
      <c r="B151" s="45" t="n"/>
      <c r="C151" s="47" t="n"/>
      <c r="D151" s="45">
        <f>IF(A151="","",TEXT(A151,"yyyy-mm"))</f>
        <v/>
      </c>
      <c r="E151" s="47">
        <f>IF(OR(B151="",D151=""),"",SUMIFS($C$2:$C$201,$B$2:$B$201,B151,$D$2:$D$201,D151))</f>
        <v/>
      </c>
    </row>
    <row r="152">
      <c r="A152" s="46" t="n"/>
      <c r="B152" s="45" t="n"/>
      <c r="C152" s="47" t="n"/>
      <c r="D152" s="45">
        <f>IF(A152="","",TEXT(A152,"yyyy-mm"))</f>
        <v/>
      </c>
      <c r="E152" s="47">
        <f>IF(OR(B152="",D152=""),"",SUMIFS($C$2:$C$201,$B$2:$B$201,B152,$D$2:$D$201,D152))</f>
        <v/>
      </c>
    </row>
    <row r="153">
      <c r="A153" s="46" t="n"/>
      <c r="B153" s="45" t="n"/>
      <c r="C153" s="47" t="n"/>
      <c r="D153" s="45">
        <f>IF(A153="","",TEXT(A153,"yyyy-mm"))</f>
        <v/>
      </c>
      <c r="E153" s="47">
        <f>IF(OR(B153="",D153=""),"",SUMIFS($C$2:$C$201,$B$2:$B$201,B153,$D$2:$D$201,D153))</f>
        <v/>
      </c>
    </row>
    <row r="154">
      <c r="A154" s="46" t="n"/>
      <c r="B154" s="45" t="n"/>
      <c r="C154" s="47" t="n"/>
      <c r="D154" s="45">
        <f>IF(A154="","",TEXT(A154,"yyyy-mm"))</f>
        <v/>
      </c>
      <c r="E154" s="47">
        <f>IF(OR(B154="",D154=""),"",SUMIFS($C$2:$C$201,$B$2:$B$201,B154,$D$2:$D$201,D154))</f>
        <v/>
      </c>
    </row>
    <row r="155">
      <c r="A155" s="46" t="n"/>
      <c r="B155" s="45" t="n"/>
      <c r="C155" s="47" t="n"/>
      <c r="D155" s="45">
        <f>IF(A155="","",TEXT(A155,"yyyy-mm"))</f>
        <v/>
      </c>
      <c r="E155" s="47">
        <f>IF(OR(B155="",D155=""),"",SUMIFS($C$2:$C$201,$B$2:$B$201,B155,$D$2:$D$201,D155))</f>
        <v/>
      </c>
    </row>
    <row r="156">
      <c r="A156" s="46" t="n"/>
      <c r="B156" s="45" t="n"/>
      <c r="C156" s="47" t="n"/>
      <c r="D156" s="45">
        <f>IF(A156="","",TEXT(A156,"yyyy-mm"))</f>
        <v/>
      </c>
      <c r="E156" s="47">
        <f>IF(OR(B156="",D156=""),"",SUMIFS($C$2:$C$201,$B$2:$B$201,B156,$D$2:$D$201,D156))</f>
        <v/>
      </c>
    </row>
    <row r="157">
      <c r="A157" s="46" t="n"/>
      <c r="B157" s="45" t="n"/>
      <c r="C157" s="47" t="n"/>
      <c r="D157" s="45">
        <f>IF(A157="","",TEXT(A157,"yyyy-mm"))</f>
        <v/>
      </c>
      <c r="E157" s="47">
        <f>IF(OR(B157="",D157=""),"",SUMIFS($C$2:$C$201,$B$2:$B$201,B157,$D$2:$D$201,D157))</f>
        <v/>
      </c>
    </row>
    <row r="158">
      <c r="A158" s="46" t="n"/>
      <c r="B158" s="45" t="n"/>
      <c r="C158" s="47" t="n"/>
      <c r="D158" s="45">
        <f>IF(A158="","",TEXT(A158,"yyyy-mm"))</f>
        <v/>
      </c>
      <c r="E158" s="47">
        <f>IF(OR(B158="",D158=""),"",SUMIFS($C$2:$C$201,$B$2:$B$201,B158,$D$2:$D$201,D158))</f>
        <v/>
      </c>
    </row>
    <row r="159">
      <c r="A159" s="46" t="n"/>
      <c r="B159" s="45" t="n"/>
      <c r="C159" s="47" t="n"/>
      <c r="D159" s="45">
        <f>IF(A159="","",TEXT(A159,"yyyy-mm"))</f>
        <v/>
      </c>
      <c r="E159" s="47">
        <f>IF(OR(B159="",D159=""),"",SUMIFS($C$2:$C$201,$B$2:$B$201,B159,$D$2:$D$201,D159))</f>
        <v/>
      </c>
    </row>
    <row r="160">
      <c r="A160" s="46" t="n"/>
      <c r="B160" s="45" t="n"/>
      <c r="C160" s="47" t="n"/>
      <c r="D160" s="45">
        <f>IF(A160="","",TEXT(A160,"yyyy-mm"))</f>
        <v/>
      </c>
      <c r="E160" s="47">
        <f>IF(OR(B160="",D160=""),"",SUMIFS($C$2:$C$201,$B$2:$B$201,B160,$D$2:$D$201,D160))</f>
        <v/>
      </c>
    </row>
    <row r="161">
      <c r="A161" s="46" t="n"/>
      <c r="B161" s="45" t="n"/>
      <c r="C161" s="47" t="n"/>
      <c r="D161" s="45">
        <f>IF(A161="","",TEXT(A161,"yyyy-mm"))</f>
        <v/>
      </c>
      <c r="E161" s="47">
        <f>IF(OR(B161="",D161=""),"",SUMIFS($C$2:$C$201,$B$2:$B$201,B161,$D$2:$D$201,D161))</f>
        <v/>
      </c>
    </row>
    <row r="162">
      <c r="A162" s="46" t="n"/>
      <c r="B162" s="45" t="n"/>
      <c r="C162" s="47" t="n"/>
      <c r="D162" s="45">
        <f>IF(A162="","",TEXT(A162,"yyyy-mm"))</f>
        <v/>
      </c>
      <c r="E162" s="47">
        <f>IF(OR(B162="",D162=""),"",SUMIFS($C$2:$C$201,$B$2:$B$201,B162,$D$2:$D$201,D162))</f>
        <v/>
      </c>
    </row>
    <row r="163">
      <c r="A163" s="46" t="n"/>
      <c r="B163" s="45" t="n"/>
      <c r="C163" s="47" t="n"/>
      <c r="D163" s="45">
        <f>IF(A163="","",TEXT(A163,"yyyy-mm"))</f>
        <v/>
      </c>
      <c r="E163" s="47">
        <f>IF(OR(B163="",D163=""),"",SUMIFS($C$2:$C$201,$B$2:$B$201,B163,$D$2:$D$201,D163))</f>
        <v/>
      </c>
    </row>
    <row r="164">
      <c r="A164" s="46" t="n"/>
      <c r="B164" s="45" t="n"/>
      <c r="C164" s="47" t="n"/>
      <c r="D164" s="45">
        <f>IF(A164="","",TEXT(A164,"yyyy-mm"))</f>
        <v/>
      </c>
      <c r="E164" s="47">
        <f>IF(OR(B164="",D164=""),"",SUMIFS($C$2:$C$201,$B$2:$B$201,B164,$D$2:$D$201,D164))</f>
        <v/>
      </c>
    </row>
    <row r="165">
      <c r="A165" s="46" t="n"/>
      <c r="B165" s="45" t="n"/>
      <c r="C165" s="47" t="n"/>
      <c r="D165" s="45">
        <f>IF(A165="","",TEXT(A165,"yyyy-mm"))</f>
        <v/>
      </c>
      <c r="E165" s="47">
        <f>IF(OR(B165="",D165=""),"",SUMIFS($C$2:$C$201,$B$2:$B$201,B165,$D$2:$D$201,D165))</f>
        <v/>
      </c>
    </row>
    <row r="166">
      <c r="A166" s="46" t="n"/>
      <c r="B166" s="45" t="n"/>
      <c r="C166" s="47" t="n"/>
      <c r="D166" s="45">
        <f>IF(A166="","",TEXT(A166,"yyyy-mm"))</f>
        <v/>
      </c>
      <c r="E166" s="47">
        <f>IF(OR(B166="",D166=""),"",SUMIFS($C$2:$C$201,$B$2:$B$201,B166,$D$2:$D$201,D166))</f>
        <v/>
      </c>
    </row>
    <row r="167">
      <c r="A167" s="46" t="n"/>
      <c r="B167" s="45" t="n"/>
      <c r="C167" s="47" t="n"/>
      <c r="D167" s="45">
        <f>IF(A167="","",TEXT(A167,"yyyy-mm"))</f>
        <v/>
      </c>
      <c r="E167" s="47">
        <f>IF(OR(B167="",D167=""),"",SUMIFS($C$2:$C$201,$B$2:$B$201,B167,$D$2:$D$201,D167))</f>
        <v/>
      </c>
    </row>
    <row r="168">
      <c r="A168" s="46" t="n"/>
      <c r="B168" s="45" t="n"/>
      <c r="C168" s="47" t="n"/>
      <c r="D168" s="45">
        <f>IF(A168="","",TEXT(A168,"yyyy-mm"))</f>
        <v/>
      </c>
      <c r="E168" s="47">
        <f>IF(OR(B168="",D168=""),"",SUMIFS($C$2:$C$201,$B$2:$B$201,B168,$D$2:$D$201,D168))</f>
        <v/>
      </c>
    </row>
    <row r="169">
      <c r="A169" s="46" t="n"/>
      <c r="B169" s="45" t="n"/>
      <c r="C169" s="47" t="n"/>
      <c r="D169" s="45">
        <f>IF(A169="","",TEXT(A169,"yyyy-mm"))</f>
        <v/>
      </c>
      <c r="E169" s="47">
        <f>IF(OR(B169="",D169=""),"",SUMIFS($C$2:$C$201,$B$2:$B$201,B169,$D$2:$D$201,D169))</f>
        <v/>
      </c>
    </row>
    <row r="170">
      <c r="A170" s="46" t="n"/>
      <c r="B170" s="45" t="n"/>
      <c r="C170" s="47" t="n"/>
      <c r="D170" s="45">
        <f>IF(A170="","",TEXT(A170,"yyyy-mm"))</f>
        <v/>
      </c>
      <c r="E170" s="47">
        <f>IF(OR(B170="",D170=""),"",SUMIFS($C$2:$C$201,$B$2:$B$201,B170,$D$2:$D$201,D170))</f>
        <v/>
      </c>
    </row>
    <row r="171">
      <c r="A171" s="46" t="n"/>
      <c r="B171" s="45" t="n"/>
      <c r="C171" s="47" t="n"/>
      <c r="D171" s="45">
        <f>IF(A171="","",TEXT(A171,"yyyy-mm"))</f>
        <v/>
      </c>
      <c r="E171" s="47">
        <f>IF(OR(B171="",D171=""),"",SUMIFS($C$2:$C$201,$B$2:$B$201,B171,$D$2:$D$201,D171))</f>
        <v/>
      </c>
    </row>
    <row r="172">
      <c r="A172" s="46" t="n"/>
      <c r="B172" s="45" t="n"/>
      <c r="C172" s="47" t="n"/>
      <c r="D172" s="45">
        <f>IF(A172="","",TEXT(A172,"yyyy-mm"))</f>
        <v/>
      </c>
      <c r="E172" s="47">
        <f>IF(OR(B172="",D172=""),"",SUMIFS($C$2:$C$201,$B$2:$B$201,B172,$D$2:$D$201,D172))</f>
        <v/>
      </c>
    </row>
    <row r="173">
      <c r="A173" s="46" t="n"/>
      <c r="B173" s="45" t="n"/>
      <c r="C173" s="47" t="n"/>
      <c r="D173" s="45">
        <f>IF(A173="","",TEXT(A173,"yyyy-mm"))</f>
        <v/>
      </c>
      <c r="E173" s="47">
        <f>IF(OR(B173="",D173=""),"",SUMIFS($C$2:$C$201,$B$2:$B$201,B173,$D$2:$D$201,D173))</f>
        <v/>
      </c>
    </row>
    <row r="174">
      <c r="A174" s="46" t="n"/>
      <c r="B174" s="45" t="n"/>
      <c r="C174" s="47" t="n"/>
      <c r="D174" s="45">
        <f>IF(A174="","",TEXT(A174,"yyyy-mm"))</f>
        <v/>
      </c>
      <c r="E174" s="47">
        <f>IF(OR(B174="",D174=""),"",SUMIFS($C$2:$C$201,$B$2:$B$201,B174,$D$2:$D$201,D174))</f>
        <v/>
      </c>
    </row>
    <row r="175">
      <c r="A175" s="46" t="n"/>
      <c r="B175" s="45" t="n"/>
      <c r="C175" s="47" t="n"/>
      <c r="D175" s="45">
        <f>IF(A175="","",TEXT(A175,"yyyy-mm"))</f>
        <v/>
      </c>
      <c r="E175" s="47">
        <f>IF(OR(B175="",D175=""),"",SUMIFS($C$2:$C$201,$B$2:$B$201,B175,$D$2:$D$201,D175))</f>
        <v/>
      </c>
    </row>
    <row r="176">
      <c r="A176" s="46" t="n"/>
      <c r="B176" s="45" t="n"/>
      <c r="C176" s="47" t="n"/>
      <c r="D176" s="45">
        <f>IF(A176="","",TEXT(A176,"yyyy-mm"))</f>
        <v/>
      </c>
      <c r="E176" s="47">
        <f>IF(OR(B176="",D176=""),"",SUMIFS($C$2:$C$201,$B$2:$B$201,B176,$D$2:$D$201,D176))</f>
        <v/>
      </c>
    </row>
    <row r="177">
      <c r="A177" s="46" t="n"/>
      <c r="B177" s="45" t="n"/>
      <c r="C177" s="47" t="n"/>
      <c r="D177" s="45">
        <f>IF(A177="","",TEXT(A177,"yyyy-mm"))</f>
        <v/>
      </c>
      <c r="E177" s="47">
        <f>IF(OR(B177="",D177=""),"",SUMIFS($C$2:$C$201,$B$2:$B$201,B177,$D$2:$D$201,D177))</f>
        <v/>
      </c>
    </row>
    <row r="178">
      <c r="A178" s="46" t="n"/>
      <c r="B178" s="45" t="n"/>
      <c r="C178" s="47" t="n"/>
      <c r="D178" s="45">
        <f>IF(A178="","",TEXT(A178,"yyyy-mm"))</f>
        <v/>
      </c>
      <c r="E178" s="47">
        <f>IF(OR(B178="",D178=""),"",SUMIFS($C$2:$C$201,$B$2:$B$201,B178,$D$2:$D$201,D178))</f>
        <v/>
      </c>
    </row>
    <row r="179">
      <c r="A179" s="46" t="n"/>
      <c r="B179" s="45" t="n"/>
      <c r="C179" s="47" t="n"/>
      <c r="D179" s="45">
        <f>IF(A179="","",TEXT(A179,"yyyy-mm"))</f>
        <v/>
      </c>
      <c r="E179" s="47">
        <f>IF(OR(B179="",D179=""),"",SUMIFS($C$2:$C$201,$B$2:$B$201,B179,$D$2:$D$201,D179))</f>
        <v/>
      </c>
    </row>
    <row r="180">
      <c r="A180" s="46" t="n"/>
      <c r="B180" s="45" t="n"/>
      <c r="C180" s="47" t="n"/>
      <c r="D180" s="45">
        <f>IF(A180="","",TEXT(A180,"yyyy-mm"))</f>
        <v/>
      </c>
      <c r="E180" s="47">
        <f>IF(OR(B180="",D180=""),"",SUMIFS($C$2:$C$201,$B$2:$B$201,B180,$D$2:$D$201,D180))</f>
        <v/>
      </c>
    </row>
    <row r="181">
      <c r="A181" s="46" t="n"/>
      <c r="B181" s="45" t="n"/>
      <c r="C181" s="47" t="n"/>
      <c r="D181" s="45">
        <f>IF(A181="","",TEXT(A181,"yyyy-mm"))</f>
        <v/>
      </c>
      <c r="E181" s="47">
        <f>IF(OR(B181="",D181=""),"",SUMIFS($C$2:$C$201,$B$2:$B$201,B181,$D$2:$D$201,D181))</f>
        <v/>
      </c>
    </row>
    <row r="182">
      <c r="A182" s="46" t="n"/>
      <c r="B182" s="45" t="n"/>
      <c r="C182" s="47" t="n"/>
      <c r="D182" s="45">
        <f>IF(A182="","",TEXT(A182,"yyyy-mm"))</f>
        <v/>
      </c>
      <c r="E182" s="47">
        <f>IF(OR(B182="",D182=""),"",SUMIFS($C$2:$C$201,$B$2:$B$201,B182,$D$2:$D$201,D182))</f>
        <v/>
      </c>
    </row>
    <row r="183">
      <c r="A183" s="46" t="n"/>
      <c r="B183" s="45" t="n"/>
      <c r="C183" s="47" t="n"/>
      <c r="D183" s="45">
        <f>IF(A183="","",TEXT(A183,"yyyy-mm"))</f>
        <v/>
      </c>
      <c r="E183" s="47">
        <f>IF(OR(B183="",D183=""),"",SUMIFS($C$2:$C$201,$B$2:$B$201,B183,$D$2:$D$201,D183))</f>
        <v/>
      </c>
    </row>
    <row r="184">
      <c r="A184" s="46" t="n"/>
      <c r="B184" s="45" t="n"/>
      <c r="C184" s="47" t="n"/>
      <c r="D184" s="45">
        <f>IF(A184="","",TEXT(A184,"yyyy-mm"))</f>
        <v/>
      </c>
      <c r="E184" s="47">
        <f>IF(OR(B184="",D184=""),"",SUMIFS($C$2:$C$201,$B$2:$B$201,B184,$D$2:$D$201,D184))</f>
        <v/>
      </c>
    </row>
    <row r="185">
      <c r="A185" s="46" t="n"/>
      <c r="B185" s="45" t="n"/>
      <c r="C185" s="47" t="n"/>
      <c r="D185" s="45">
        <f>IF(A185="","",TEXT(A185,"yyyy-mm"))</f>
        <v/>
      </c>
      <c r="E185" s="47">
        <f>IF(OR(B185="",D185=""),"",SUMIFS($C$2:$C$201,$B$2:$B$201,B185,$D$2:$D$201,D185))</f>
        <v/>
      </c>
    </row>
    <row r="186">
      <c r="A186" s="46" t="n"/>
      <c r="B186" s="45" t="n"/>
      <c r="C186" s="47" t="n"/>
      <c r="D186" s="45">
        <f>IF(A186="","",TEXT(A186,"yyyy-mm"))</f>
        <v/>
      </c>
      <c r="E186" s="47">
        <f>IF(OR(B186="",D186=""),"",SUMIFS($C$2:$C$201,$B$2:$B$201,B186,$D$2:$D$201,D186))</f>
        <v/>
      </c>
    </row>
    <row r="187">
      <c r="A187" s="46" t="n"/>
      <c r="B187" s="45" t="n"/>
      <c r="C187" s="47" t="n"/>
      <c r="D187" s="45">
        <f>IF(A187="","",TEXT(A187,"yyyy-mm"))</f>
        <v/>
      </c>
      <c r="E187" s="47">
        <f>IF(OR(B187="",D187=""),"",SUMIFS($C$2:$C$201,$B$2:$B$201,B187,$D$2:$D$201,D187))</f>
        <v/>
      </c>
    </row>
    <row r="188">
      <c r="A188" s="46" t="n"/>
      <c r="B188" s="45" t="n"/>
      <c r="C188" s="47" t="n"/>
      <c r="D188" s="45">
        <f>IF(A188="","",TEXT(A188,"yyyy-mm"))</f>
        <v/>
      </c>
      <c r="E188" s="47">
        <f>IF(OR(B188="",D188=""),"",SUMIFS($C$2:$C$201,$B$2:$B$201,B188,$D$2:$D$201,D188))</f>
        <v/>
      </c>
    </row>
    <row r="189">
      <c r="A189" s="46" t="n"/>
      <c r="B189" s="45" t="n"/>
      <c r="C189" s="47" t="n"/>
      <c r="D189" s="45">
        <f>IF(A189="","",TEXT(A189,"yyyy-mm"))</f>
        <v/>
      </c>
      <c r="E189" s="47">
        <f>IF(OR(B189="",D189=""),"",SUMIFS($C$2:$C$201,$B$2:$B$201,B189,$D$2:$D$201,D189))</f>
        <v/>
      </c>
    </row>
    <row r="190">
      <c r="A190" s="46" t="n"/>
      <c r="B190" s="45" t="n"/>
      <c r="C190" s="47" t="n"/>
      <c r="D190" s="45">
        <f>IF(A190="","",TEXT(A190,"yyyy-mm"))</f>
        <v/>
      </c>
      <c r="E190" s="47">
        <f>IF(OR(B190="",D190=""),"",SUMIFS($C$2:$C$201,$B$2:$B$201,B190,$D$2:$D$201,D190))</f>
        <v/>
      </c>
    </row>
    <row r="191">
      <c r="A191" s="46" t="n"/>
      <c r="B191" s="45" t="n"/>
      <c r="C191" s="47" t="n"/>
      <c r="D191" s="45">
        <f>IF(A191="","",TEXT(A191,"yyyy-mm"))</f>
        <v/>
      </c>
      <c r="E191" s="47">
        <f>IF(OR(B191="",D191=""),"",SUMIFS($C$2:$C$201,$B$2:$B$201,B191,$D$2:$D$201,D191))</f>
        <v/>
      </c>
    </row>
    <row r="192">
      <c r="A192" s="46" t="n"/>
      <c r="B192" s="45" t="n"/>
      <c r="C192" s="47" t="n"/>
      <c r="D192" s="45">
        <f>IF(A192="","",TEXT(A192,"yyyy-mm"))</f>
        <v/>
      </c>
      <c r="E192" s="47">
        <f>IF(OR(B192="",D192=""),"",SUMIFS($C$2:$C$201,$B$2:$B$201,B192,$D$2:$D$201,D192))</f>
        <v/>
      </c>
    </row>
    <row r="193">
      <c r="A193" s="46" t="n"/>
      <c r="B193" s="45" t="n"/>
      <c r="C193" s="47" t="n"/>
      <c r="D193" s="45">
        <f>IF(A193="","",TEXT(A193,"yyyy-mm"))</f>
        <v/>
      </c>
      <c r="E193" s="47">
        <f>IF(OR(B193="",D193=""),"",SUMIFS($C$2:$C$201,$B$2:$B$201,B193,$D$2:$D$201,D193))</f>
        <v/>
      </c>
    </row>
    <row r="194">
      <c r="A194" s="46" t="n"/>
      <c r="B194" s="45" t="n"/>
      <c r="C194" s="47" t="n"/>
      <c r="D194" s="45">
        <f>IF(A194="","",TEXT(A194,"yyyy-mm"))</f>
        <v/>
      </c>
      <c r="E194" s="47">
        <f>IF(OR(B194="",D194=""),"",SUMIFS($C$2:$C$201,$B$2:$B$201,B194,$D$2:$D$201,D194))</f>
        <v/>
      </c>
    </row>
    <row r="195">
      <c r="A195" s="46" t="n"/>
      <c r="B195" s="45" t="n"/>
      <c r="C195" s="47" t="n"/>
      <c r="D195" s="45">
        <f>IF(A195="","",TEXT(A195,"yyyy-mm"))</f>
        <v/>
      </c>
      <c r="E195" s="47">
        <f>IF(OR(B195="",D195=""),"",SUMIFS($C$2:$C$201,$B$2:$B$201,B195,$D$2:$D$201,D195))</f>
        <v/>
      </c>
    </row>
    <row r="196">
      <c r="A196" s="46" t="n"/>
      <c r="B196" s="45" t="n"/>
      <c r="C196" s="47" t="n"/>
      <c r="D196" s="45">
        <f>IF(A196="","",TEXT(A196,"yyyy-mm"))</f>
        <v/>
      </c>
      <c r="E196" s="47">
        <f>IF(OR(B196="",D196=""),"",SUMIFS($C$2:$C$201,$B$2:$B$201,B196,$D$2:$D$201,D196))</f>
        <v/>
      </c>
    </row>
    <row r="197">
      <c r="A197" s="46" t="n"/>
      <c r="B197" s="45" t="n"/>
      <c r="C197" s="47" t="n"/>
      <c r="D197" s="45">
        <f>IF(A197="","",TEXT(A197,"yyyy-mm"))</f>
        <v/>
      </c>
      <c r="E197" s="47">
        <f>IF(OR(B197="",D197=""),"",SUMIFS($C$2:$C$201,$B$2:$B$201,B197,$D$2:$D$201,D197))</f>
        <v/>
      </c>
    </row>
    <row r="198">
      <c r="A198" s="46" t="n"/>
      <c r="B198" s="45" t="n"/>
      <c r="C198" s="47" t="n"/>
      <c r="D198" s="45">
        <f>IF(A198="","",TEXT(A198,"yyyy-mm"))</f>
        <v/>
      </c>
      <c r="E198" s="47">
        <f>IF(OR(B198="",D198=""),"",SUMIFS($C$2:$C$201,$B$2:$B$201,B198,$D$2:$D$201,D198))</f>
        <v/>
      </c>
    </row>
    <row r="199">
      <c r="A199" s="46" t="n"/>
      <c r="B199" s="45" t="n"/>
      <c r="C199" s="47" t="n"/>
      <c r="D199" s="45">
        <f>IF(A199="","",TEXT(A199,"yyyy-mm"))</f>
        <v/>
      </c>
      <c r="E199" s="47">
        <f>IF(OR(B199="",D199=""),"",SUMIFS($C$2:$C$201,$B$2:$B$201,B199,$D$2:$D$201,D199))</f>
        <v/>
      </c>
    </row>
    <row r="200">
      <c r="A200" s="46" t="n"/>
      <c r="B200" s="45" t="n"/>
      <c r="C200" s="47" t="n"/>
      <c r="D200" s="45">
        <f>IF(A200="","",TEXT(A200,"yyyy-mm"))</f>
        <v/>
      </c>
      <c r="E200" s="47">
        <f>IF(OR(B200="",D200=""),"",SUMIFS($C$2:$C$201,$B$2:$B$201,B200,$D$2:$D$201,D200))</f>
        <v/>
      </c>
    </row>
    <row r="201">
      <c r="A201" s="46" t="n"/>
      <c r="B201" s="45" t="n"/>
      <c r="C201" s="47" t="n"/>
      <c r="D201" s="45">
        <f>IF(A201="","",TEXT(A201,"yyyy-mm"))</f>
        <v/>
      </c>
      <c r="E201" s="47">
        <f>IF(OR(B201="",D201=""),"",SUMIFS($C$2:$C$201,$B$2:$B$201,B201,$D$2:$D$201,D201))</f>
        <v/>
      </c>
    </row>
    <row r="202">
      <c r="A202" s="6" t="inlineStr">
        <is>
          <t>SOMMATION</t>
        </is>
      </c>
      <c r="B202" s="7" t="n"/>
      <c r="C202" s="8">
        <f>SUM(C2:C201)</f>
        <v/>
      </c>
      <c r="D202" s="7" t="n"/>
      <c r="E202" s="8">
        <f>SUM(E2:E201)</f>
        <v/>
      </c>
    </row>
  </sheetData>
  <dataValidations count="1">
    <dataValidation sqref="B2:B201" showDropDown="0" showInputMessage="0" showErrorMessage="0" allowBlank="1" type="list">
      <formula1>=Paramètres!$A$4:$A$8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</cols>
  <sheetData>
    <row r="1" ht="22" customHeight="1">
      <c r="A1" s="44" t="inlineStr">
        <is>
          <t>Date</t>
        </is>
      </c>
      <c r="B1" s="44" t="inlineStr">
        <is>
          <t>Client</t>
        </is>
      </c>
      <c r="C1" s="44" t="inlineStr">
        <is>
          <t>Montant USD</t>
        </is>
      </c>
      <c r="D1" s="44" t="inlineStr">
        <is>
          <t>Montant CDF</t>
        </is>
      </c>
    </row>
    <row r="2">
      <c r="A2" s="45" t="n"/>
      <c r="B2" s="45" t="n"/>
      <c r="C2" s="47" t="n"/>
      <c r="D2" s="47" t="n"/>
    </row>
    <row r="3">
      <c r="A3" s="45" t="n"/>
      <c r="B3" s="45" t="n"/>
      <c r="C3" s="47" t="n"/>
      <c r="D3" s="47" t="n"/>
    </row>
    <row r="4">
      <c r="A4" s="45" t="n"/>
      <c r="B4" s="45" t="n"/>
      <c r="C4" s="47" t="n"/>
      <c r="D4" s="47" t="n"/>
    </row>
    <row r="5">
      <c r="A5" s="45" t="n"/>
      <c r="B5" s="45" t="n"/>
      <c r="C5" s="47" t="n"/>
      <c r="D5" s="47" t="n"/>
    </row>
    <row r="6">
      <c r="A6" s="45" t="n"/>
      <c r="B6" s="45" t="n"/>
      <c r="C6" s="47" t="n"/>
      <c r="D6" s="47" t="n"/>
    </row>
    <row r="7">
      <c r="A7" s="45" t="n"/>
      <c r="B7" s="45" t="n"/>
      <c r="C7" s="47" t="n"/>
      <c r="D7" s="47" t="n"/>
    </row>
    <row r="8">
      <c r="A8" s="45" t="n"/>
      <c r="B8" s="45" t="n"/>
      <c r="C8" s="47" t="n"/>
      <c r="D8" s="47" t="n"/>
    </row>
    <row r="9">
      <c r="A9" s="45" t="n"/>
      <c r="B9" s="45" t="n"/>
      <c r="C9" s="47" t="n"/>
      <c r="D9" s="47" t="n"/>
    </row>
    <row r="10">
      <c r="A10" s="45" t="n"/>
      <c r="B10" s="45" t="n"/>
      <c r="C10" s="47" t="n"/>
      <c r="D10" s="47" t="n"/>
    </row>
    <row r="11">
      <c r="A11" s="45" t="n"/>
      <c r="B11" s="45" t="n"/>
      <c r="C11" s="47" t="n"/>
      <c r="D11" s="47" t="n"/>
    </row>
    <row r="12">
      <c r="A12" s="45" t="n"/>
      <c r="B12" s="45" t="n"/>
      <c r="C12" s="47" t="n"/>
      <c r="D12" s="47" t="n"/>
    </row>
    <row r="13">
      <c r="A13" s="45" t="n"/>
      <c r="B13" s="45" t="n"/>
      <c r="C13" s="47" t="n"/>
      <c r="D13" s="47" t="n"/>
    </row>
    <row r="14">
      <c r="A14" s="45" t="n"/>
      <c r="B14" s="45" t="n"/>
      <c r="C14" s="47" t="n"/>
      <c r="D14" s="47" t="n"/>
    </row>
    <row r="15">
      <c r="A15" s="45" t="n"/>
      <c r="B15" s="45" t="n"/>
      <c r="C15" s="47" t="n"/>
      <c r="D15" s="47" t="n"/>
    </row>
    <row r="16">
      <c r="A16" s="45" t="n"/>
      <c r="B16" s="45" t="n"/>
      <c r="C16" s="47" t="n"/>
      <c r="D16" s="47" t="n"/>
    </row>
    <row r="17">
      <c r="A17" s="45" t="n"/>
      <c r="B17" s="45" t="n"/>
      <c r="C17" s="47" t="n"/>
      <c r="D17" s="47" t="n"/>
    </row>
    <row r="18">
      <c r="A18" s="45" t="n"/>
      <c r="B18" s="45" t="n"/>
      <c r="C18" s="47" t="n"/>
      <c r="D18" s="47" t="n"/>
    </row>
    <row r="19">
      <c r="A19" s="45" t="n"/>
      <c r="B19" s="45" t="n"/>
      <c r="C19" s="47" t="n"/>
      <c r="D19" s="47" t="n"/>
    </row>
    <row r="20">
      <c r="A20" s="45" t="n"/>
      <c r="B20" s="45" t="n"/>
      <c r="C20" s="47" t="n"/>
      <c r="D20" s="47" t="n"/>
    </row>
    <row r="21">
      <c r="A21" s="45" t="n"/>
      <c r="B21" s="45" t="n"/>
      <c r="C21" s="47" t="n"/>
      <c r="D21" s="47" t="n"/>
    </row>
    <row r="22">
      <c r="A22" s="45" t="n"/>
      <c r="B22" s="45" t="n"/>
      <c r="C22" s="47" t="n"/>
      <c r="D22" s="47" t="n"/>
    </row>
    <row r="23">
      <c r="A23" s="45" t="n"/>
      <c r="B23" s="45" t="n"/>
      <c r="C23" s="47" t="n"/>
      <c r="D23" s="47" t="n"/>
    </row>
    <row r="24">
      <c r="A24" s="45" t="n"/>
      <c r="B24" s="45" t="n"/>
      <c r="C24" s="47" t="n"/>
      <c r="D24" s="47" t="n"/>
    </row>
    <row r="25">
      <c r="A25" s="45" t="n"/>
      <c r="B25" s="45" t="n"/>
      <c r="C25" s="47" t="n"/>
      <c r="D25" s="47" t="n"/>
    </row>
    <row r="26">
      <c r="A26" s="45" t="n"/>
      <c r="B26" s="45" t="n"/>
      <c r="C26" s="47" t="n"/>
      <c r="D26" s="47" t="n"/>
    </row>
    <row r="27">
      <c r="A27" s="45" t="n"/>
      <c r="B27" s="45" t="n"/>
      <c r="C27" s="47" t="n"/>
      <c r="D27" s="47" t="n"/>
    </row>
    <row r="28">
      <c r="A28" s="45" t="n"/>
      <c r="B28" s="45" t="n"/>
      <c r="C28" s="47" t="n"/>
      <c r="D28" s="47" t="n"/>
    </row>
    <row r="29">
      <c r="A29" s="45" t="n"/>
      <c r="B29" s="45" t="n"/>
      <c r="C29" s="47" t="n"/>
      <c r="D29" s="47" t="n"/>
    </row>
    <row r="30">
      <c r="A30" s="45" t="n"/>
      <c r="B30" s="45" t="n"/>
      <c r="C30" s="47" t="n"/>
      <c r="D30" s="47" t="n"/>
    </row>
    <row r="31">
      <c r="A31" s="45" t="n"/>
      <c r="B31" s="45" t="n"/>
      <c r="C31" s="47" t="n"/>
      <c r="D31" s="47" t="n"/>
    </row>
    <row r="32">
      <c r="A32" s="45" t="n"/>
      <c r="B32" s="45" t="n"/>
      <c r="C32" s="47" t="n"/>
      <c r="D32" s="47" t="n"/>
    </row>
    <row r="33">
      <c r="A33" s="45" t="n"/>
      <c r="B33" s="45" t="n"/>
      <c r="C33" s="47" t="n"/>
      <c r="D33" s="47" t="n"/>
    </row>
    <row r="34">
      <c r="A34" s="45" t="n"/>
      <c r="B34" s="45" t="n"/>
      <c r="C34" s="47" t="n"/>
      <c r="D34" s="47" t="n"/>
    </row>
    <row r="35">
      <c r="A35" s="45" t="n"/>
      <c r="B35" s="45" t="n"/>
      <c r="C35" s="47" t="n"/>
      <c r="D35" s="47" t="n"/>
    </row>
    <row r="36">
      <c r="A36" s="45" t="n"/>
      <c r="B36" s="45" t="n"/>
      <c r="C36" s="47" t="n"/>
      <c r="D36" s="47" t="n"/>
    </row>
    <row r="37">
      <c r="A37" s="45" t="n"/>
      <c r="B37" s="45" t="n"/>
      <c r="C37" s="47" t="n"/>
      <c r="D37" s="47" t="n"/>
    </row>
    <row r="38">
      <c r="A38" s="45" t="n"/>
      <c r="B38" s="45" t="n"/>
      <c r="C38" s="47" t="n"/>
      <c r="D38" s="47" t="n"/>
    </row>
    <row r="39">
      <c r="A39" s="45" t="n"/>
      <c r="B39" s="45" t="n"/>
      <c r="C39" s="47" t="n"/>
      <c r="D39" s="47" t="n"/>
    </row>
    <row r="40">
      <c r="A40" s="45" t="n"/>
      <c r="B40" s="45" t="n"/>
      <c r="C40" s="47" t="n"/>
      <c r="D40" s="47" t="n"/>
    </row>
    <row r="41">
      <c r="A41" s="45" t="n"/>
      <c r="B41" s="45" t="n"/>
      <c r="C41" s="47" t="n"/>
      <c r="D41" s="47" t="n"/>
    </row>
    <row r="42">
      <c r="A42" s="45" t="n"/>
      <c r="B42" s="45" t="n"/>
      <c r="C42" s="47" t="n"/>
      <c r="D42" s="47" t="n"/>
    </row>
    <row r="43">
      <c r="A43" s="45" t="n"/>
      <c r="B43" s="45" t="n"/>
      <c r="C43" s="47" t="n"/>
      <c r="D43" s="47" t="n"/>
    </row>
    <row r="44">
      <c r="A44" s="45" t="n"/>
      <c r="B44" s="45" t="n"/>
      <c r="C44" s="47" t="n"/>
      <c r="D44" s="47" t="n"/>
    </row>
    <row r="45">
      <c r="A45" s="45" t="n"/>
      <c r="B45" s="45" t="n"/>
      <c r="C45" s="47" t="n"/>
      <c r="D45" s="47" t="n"/>
    </row>
    <row r="46">
      <c r="A46" s="45" t="n"/>
      <c r="B46" s="45" t="n"/>
      <c r="C46" s="47" t="n"/>
      <c r="D46" s="47" t="n"/>
    </row>
    <row r="47">
      <c r="A47" s="45" t="n"/>
      <c r="B47" s="45" t="n"/>
      <c r="C47" s="47" t="n"/>
      <c r="D47" s="47" t="n"/>
    </row>
    <row r="48">
      <c r="A48" s="45" t="n"/>
      <c r="B48" s="45" t="n"/>
      <c r="C48" s="47" t="n"/>
      <c r="D48" s="47" t="n"/>
    </row>
    <row r="49">
      <c r="A49" s="45" t="n"/>
      <c r="B49" s="45" t="n"/>
      <c r="C49" s="47" t="n"/>
      <c r="D49" s="47" t="n"/>
    </row>
    <row r="50">
      <c r="A50" s="45" t="n"/>
      <c r="B50" s="45" t="n"/>
      <c r="C50" s="47" t="n"/>
      <c r="D50" s="47" t="n"/>
    </row>
    <row r="51">
      <c r="A51" s="45" t="n"/>
      <c r="B51" s="45" t="n"/>
      <c r="C51" s="47" t="n"/>
      <c r="D51" s="47" t="n"/>
    </row>
    <row r="52">
      <c r="A52" s="45" t="n"/>
      <c r="B52" s="45" t="n"/>
      <c r="C52" s="47" t="n"/>
      <c r="D52" s="47" t="n"/>
    </row>
    <row r="53">
      <c r="A53" s="45" t="n"/>
      <c r="B53" s="45" t="n"/>
      <c r="C53" s="47" t="n"/>
      <c r="D53" s="47" t="n"/>
    </row>
    <row r="54">
      <c r="A54" s="45" t="n"/>
      <c r="B54" s="45" t="n"/>
      <c r="C54" s="47" t="n"/>
      <c r="D54" s="47" t="n"/>
    </row>
    <row r="55">
      <c r="A55" s="45" t="n"/>
      <c r="B55" s="45" t="n"/>
      <c r="C55" s="47" t="n"/>
      <c r="D55" s="47" t="n"/>
    </row>
    <row r="56">
      <c r="A56" s="45" t="n"/>
      <c r="B56" s="45" t="n"/>
      <c r="C56" s="47" t="n"/>
      <c r="D56" s="47" t="n"/>
    </row>
    <row r="57">
      <c r="A57" s="45" t="n"/>
      <c r="B57" s="45" t="n"/>
      <c r="C57" s="47" t="n"/>
      <c r="D57" s="47" t="n"/>
    </row>
    <row r="58">
      <c r="A58" s="45" t="n"/>
      <c r="B58" s="45" t="n"/>
      <c r="C58" s="47" t="n"/>
      <c r="D58" s="47" t="n"/>
    </row>
    <row r="59">
      <c r="A59" s="45" t="n"/>
      <c r="B59" s="45" t="n"/>
      <c r="C59" s="47" t="n"/>
      <c r="D59" s="47" t="n"/>
    </row>
    <row r="60">
      <c r="A60" s="45" t="n"/>
      <c r="B60" s="45" t="n"/>
      <c r="C60" s="47" t="n"/>
      <c r="D60" s="47" t="n"/>
    </row>
    <row r="61">
      <c r="A61" s="45" t="n"/>
      <c r="B61" s="45" t="n"/>
      <c r="C61" s="47" t="n"/>
      <c r="D61" s="47" t="n"/>
    </row>
    <row r="62">
      <c r="A62" s="45" t="n"/>
      <c r="B62" s="45" t="n"/>
      <c r="C62" s="47" t="n"/>
      <c r="D62" s="47" t="n"/>
    </row>
    <row r="63">
      <c r="A63" s="45" t="n"/>
      <c r="B63" s="45" t="n"/>
      <c r="C63" s="47" t="n"/>
      <c r="D63" s="47" t="n"/>
    </row>
    <row r="64">
      <c r="A64" s="45" t="n"/>
      <c r="B64" s="45" t="n"/>
      <c r="C64" s="47" t="n"/>
      <c r="D64" s="47" t="n"/>
    </row>
    <row r="65">
      <c r="A65" s="45" t="n"/>
      <c r="B65" s="45" t="n"/>
      <c r="C65" s="47" t="n"/>
      <c r="D65" s="47" t="n"/>
    </row>
    <row r="66">
      <c r="A66" s="45" t="n"/>
      <c r="B66" s="45" t="n"/>
      <c r="C66" s="47" t="n"/>
      <c r="D66" s="47" t="n"/>
    </row>
    <row r="67">
      <c r="A67" s="45" t="n"/>
      <c r="B67" s="45" t="n"/>
      <c r="C67" s="47" t="n"/>
      <c r="D67" s="47" t="n"/>
    </row>
    <row r="68">
      <c r="A68" s="45" t="n"/>
      <c r="B68" s="45" t="n"/>
      <c r="C68" s="47" t="n"/>
      <c r="D68" s="47" t="n"/>
    </row>
    <row r="69">
      <c r="A69" s="45" t="n"/>
      <c r="B69" s="45" t="n"/>
      <c r="C69" s="47" t="n"/>
      <c r="D69" s="47" t="n"/>
    </row>
    <row r="70">
      <c r="A70" s="45" t="n"/>
      <c r="B70" s="45" t="n"/>
      <c r="C70" s="47" t="n"/>
      <c r="D70" s="47" t="n"/>
    </row>
    <row r="71">
      <c r="A71" s="45" t="n"/>
      <c r="B71" s="45" t="n"/>
      <c r="C71" s="47" t="n"/>
      <c r="D71" s="47" t="n"/>
    </row>
    <row r="72">
      <c r="A72" s="45" t="n"/>
      <c r="B72" s="45" t="n"/>
      <c r="C72" s="47" t="n"/>
      <c r="D72" s="47" t="n"/>
    </row>
    <row r="73">
      <c r="A73" s="45" t="n"/>
      <c r="B73" s="45" t="n"/>
      <c r="C73" s="47" t="n"/>
      <c r="D73" s="47" t="n"/>
    </row>
    <row r="74">
      <c r="A74" s="45" t="n"/>
      <c r="B74" s="45" t="n"/>
      <c r="C74" s="47" t="n"/>
      <c r="D74" s="47" t="n"/>
    </row>
    <row r="75">
      <c r="A75" s="45" t="n"/>
      <c r="B75" s="45" t="n"/>
      <c r="C75" s="47" t="n"/>
      <c r="D75" s="47" t="n"/>
    </row>
    <row r="76">
      <c r="A76" s="45" t="n"/>
      <c r="B76" s="45" t="n"/>
      <c r="C76" s="47" t="n"/>
      <c r="D76" s="47" t="n"/>
    </row>
    <row r="77">
      <c r="A77" s="45" t="n"/>
      <c r="B77" s="45" t="n"/>
      <c r="C77" s="47" t="n"/>
      <c r="D77" s="47" t="n"/>
    </row>
    <row r="78">
      <c r="A78" s="45" t="n"/>
      <c r="B78" s="45" t="n"/>
      <c r="C78" s="47" t="n"/>
      <c r="D78" s="47" t="n"/>
    </row>
    <row r="79">
      <c r="A79" s="45" t="n"/>
      <c r="B79" s="45" t="n"/>
      <c r="C79" s="47" t="n"/>
      <c r="D79" s="47" t="n"/>
    </row>
    <row r="80">
      <c r="A80" s="45" t="n"/>
      <c r="B80" s="45" t="n"/>
      <c r="C80" s="47" t="n"/>
      <c r="D80" s="47" t="n"/>
    </row>
    <row r="81">
      <c r="A81" s="45" t="n"/>
      <c r="B81" s="45" t="n"/>
      <c r="C81" s="47" t="n"/>
      <c r="D81" s="47" t="n"/>
    </row>
    <row r="82">
      <c r="A82" s="45" t="n"/>
      <c r="B82" s="45" t="n"/>
      <c r="C82" s="47" t="n"/>
      <c r="D82" s="47" t="n"/>
    </row>
    <row r="83">
      <c r="A83" s="45" t="n"/>
      <c r="B83" s="45" t="n"/>
      <c r="C83" s="47" t="n"/>
      <c r="D83" s="47" t="n"/>
    </row>
    <row r="84">
      <c r="A84" s="45" t="n"/>
      <c r="B84" s="45" t="n"/>
      <c r="C84" s="47" t="n"/>
      <c r="D84" s="47" t="n"/>
    </row>
    <row r="85">
      <c r="A85" s="45" t="n"/>
      <c r="B85" s="45" t="n"/>
      <c r="C85" s="47" t="n"/>
      <c r="D85" s="47" t="n"/>
    </row>
    <row r="86">
      <c r="A86" s="45" t="n"/>
      <c r="B86" s="45" t="n"/>
      <c r="C86" s="47" t="n"/>
      <c r="D86" s="47" t="n"/>
    </row>
    <row r="87">
      <c r="A87" s="45" t="n"/>
      <c r="B87" s="45" t="n"/>
      <c r="C87" s="47" t="n"/>
      <c r="D87" s="47" t="n"/>
    </row>
    <row r="88">
      <c r="A88" s="45" t="n"/>
      <c r="B88" s="45" t="n"/>
      <c r="C88" s="47" t="n"/>
      <c r="D88" s="47" t="n"/>
    </row>
    <row r="89">
      <c r="A89" s="45" t="n"/>
      <c r="B89" s="45" t="n"/>
      <c r="C89" s="47" t="n"/>
      <c r="D89" s="47" t="n"/>
    </row>
    <row r="90">
      <c r="A90" s="45" t="n"/>
      <c r="B90" s="45" t="n"/>
      <c r="C90" s="47" t="n"/>
      <c r="D90" s="47" t="n"/>
    </row>
    <row r="91">
      <c r="A91" s="45" t="n"/>
      <c r="B91" s="45" t="n"/>
      <c r="C91" s="47" t="n"/>
      <c r="D91" s="47" t="n"/>
    </row>
    <row r="92">
      <c r="A92" s="45" t="n"/>
      <c r="B92" s="45" t="n"/>
      <c r="C92" s="47" t="n"/>
      <c r="D92" s="47" t="n"/>
    </row>
    <row r="93">
      <c r="A93" s="45" t="n"/>
      <c r="B93" s="45" t="n"/>
      <c r="C93" s="47" t="n"/>
      <c r="D93" s="47" t="n"/>
    </row>
    <row r="94">
      <c r="A94" s="45" t="n"/>
      <c r="B94" s="45" t="n"/>
      <c r="C94" s="47" t="n"/>
      <c r="D94" s="47" t="n"/>
    </row>
    <row r="95">
      <c r="A95" s="45" t="n"/>
      <c r="B95" s="45" t="n"/>
      <c r="C95" s="47" t="n"/>
      <c r="D95" s="47" t="n"/>
    </row>
    <row r="96">
      <c r="A96" s="45" t="n"/>
      <c r="B96" s="45" t="n"/>
      <c r="C96" s="47" t="n"/>
      <c r="D96" s="47" t="n"/>
    </row>
    <row r="97">
      <c r="A97" s="45" t="n"/>
      <c r="B97" s="45" t="n"/>
      <c r="C97" s="47" t="n"/>
      <c r="D97" s="47" t="n"/>
    </row>
    <row r="98">
      <c r="A98" s="45" t="n"/>
      <c r="B98" s="45" t="n"/>
      <c r="C98" s="47" t="n"/>
      <c r="D98" s="47" t="n"/>
    </row>
    <row r="99">
      <c r="A99" s="45" t="n"/>
      <c r="B99" s="45" t="n"/>
      <c r="C99" s="47" t="n"/>
      <c r="D99" s="47" t="n"/>
    </row>
    <row r="100">
      <c r="A100" s="45" t="n"/>
      <c r="B100" s="45" t="n"/>
      <c r="C100" s="47" t="n"/>
      <c r="D100" s="47" t="n"/>
    </row>
    <row r="101">
      <c r="A101" s="45" t="n"/>
      <c r="B101" s="45" t="n"/>
      <c r="C101" s="47" t="n"/>
      <c r="D101" s="47" t="n"/>
    </row>
    <row r="102">
      <c r="A102" s="45" t="n"/>
      <c r="B102" s="45" t="n"/>
      <c r="C102" s="47" t="n"/>
      <c r="D102" s="47" t="n"/>
    </row>
    <row r="103">
      <c r="A103" s="45" t="n"/>
      <c r="B103" s="45" t="n"/>
      <c r="C103" s="47" t="n"/>
      <c r="D103" s="47" t="n"/>
    </row>
    <row r="104">
      <c r="A104" s="45" t="n"/>
      <c r="B104" s="45" t="n"/>
      <c r="C104" s="47" t="n"/>
      <c r="D104" s="47" t="n"/>
    </row>
    <row r="105">
      <c r="A105" s="45" t="n"/>
      <c r="B105" s="45" t="n"/>
      <c r="C105" s="47" t="n"/>
      <c r="D105" s="47" t="n"/>
    </row>
    <row r="106">
      <c r="A106" s="45" t="n"/>
      <c r="B106" s="45" t="n"/>
      <c r="C106" s="47" t="n"/>
      <c r="D106" s="47" t="n"/>
    </row>
    <row r="107">
      <c r="A107" s="45" t="n"/>
      <c r="B107" s="45" t="n"/>
      <c r="C107" s="47" t="n"/>
      <c r="D107" s="47" t="n"/>
    </row>
    <row r="108">
      <c r="A108" s="45" t="n"/>
      <c r="B108" s="45" t="n"/>
      <c r="C108" s="47" t="n"/>
      <c r="D108" s="47" t="n"/>
    </row>
    <row r="109">
      <c r="A109" s="45" t="n"/>
      <c r="B109" s="45" t="n"/>
      <c r="C109" s="47" t="n"/>
      <c r="D109" s="47" t="n"/>
    </row>
    <row r="110">
      <c r="A110" s="45" t="n"/>
      <c r="B110" s="45" t="n"/>
      <c r="C110" s="47" t="n"/>
      <c r="D110" s="47" t="n"/>
    </row>
    <row r="111">
      <c r="A111" s="45" t="n"/>
      <c r="B111" s="45" t="n"/>
      <c r="C111" s="47" t="n"/>
      <c r="D111" s="47" t="n"/>
    </row>
    <row r="112">
      <c r="A112" s="45" t="n"/>
      <c r="B112" s="45" t="n"/>
      <c r="C112" s="47" t="n"/>
      <c r="D112" s="47" t="n"/>
    </row>
    <row r="113">
      <c r="A113" s="45" t="n"/>
      <c r="B113" s="45" t="n"/>
      <c r="C113" s="47" t="n"/>
      <c r="D113" s="47" t="n"/>
    </row>
    <row r="114">
      <c r="A114" s="45" t="n"/>
      <c r="B114" s="45" t="n"/>
      <c r="C114" s="47" t="n"/>
      <c r="D114" s="47" t="n"/>
    </row>
    <row r="115">
      <c r="A115" s="45" t="n"/>
      <c r="B115" s="45" t="n"/>
      <c r="C115" s="47" t="n"/>
      <c r="D115" s="47" t="n"/>
    </row>
    <row r="116">
      <c r="A116" s="45" t="n"/>
      <c r="B116" s="45" t="n"/>
      <c r="C116" s="47" t="n"/>
      <c r="D116" s="47" t="n"/>
    </row>
    <row r="117">
      <c r="A117" s="45" t="n"/>
      <c r="B117" s="45" t="n"/>
      <c r="C117" s="47" t="n"/>
      <c r="D117" s="47" t="n"/>
    </row>
    <row r="118">
      <c r="A118" s="45" t="n"/>
      <c r="B118" s="45" t="n"/>
      <c r="C118" s="47" t="n"/>
      <c r="D118" s="47" t="n"/>
    </row>
    <row r="119">
      <c r="A119" s="45" t="n"/>
      <c r="B119" s="45" t="n"/>
      <c r="C119" s="47" t="n"/>
      <c r="D119" s="47" t="n"/>
    </row>
    <row r="120">
      <c r="A120" s="45" t="n"/>
      <c r="B120" s="45" t="n"/>
      <c r="C120" s="47" t="n"/>
      <c r="D120" s="47" t="n"/>
    </row>
    <row r="121">
      <c r="A121" s="45" t="n"/>
      <c r="B121" s="45" t="n"/>
      <c r="C121" s="47" t="n"/>
      <c r="D121" s="47" t="n"/>
    </row>
    <row r="122">
      <c r="A122" s="45" t="n"/>
      <c r="B122" s="45" t="n"/>
      <c r="C122" s="47" t="n"/>
      <c r="D122" s="47" t="n"/>
    </row>
    <row r="123">
      <c r="A123" s="45" t="n"/>
      <c r="B123" s="45" t="n"/>
      <c r="C123" s="47" t="n"/>
      <c r="D123" s="47" t="n"/>
    </row>
    <row r="124">
      <c r="A124" s="45" t="n"/>
      <c r="B124" s="45" t="n"/>
      <c r="C124" s="47" t="n"/>
      <c r="D124" s="47" t="n"/>
    </row>
    <row r="125">
      <c r="A125" s="45" t="n"/>
      <c r="B125" s="45" t="n"/>
      <c r="C125" s="47" t="n"/>
      <c r="D125" s="47" t="n"/>
    </row>
    <row r="126">
      <c r="A126" s="45" t="n"/>
      <c r="B126" s="45" t="n"/>
      <c r="C126" s="47" t="n"/>
      <c r="D126" s="47" t="n"/>
    </row>
    <row r="127">
      <c r="A127" s="45" t="n"/>
      <c r="B127" s="45" t="n"/>
      <c r="C127" s="47" t="n"/>
      <c r="D127" s="47" t="n"/>
    </row>
    <row r="128">
      <c r="A128" s="45" t="n"/>
      <c r="B128" s="45" t="n"/>
      <c r="C128" s="47" t="n"/>
      <c r="D128" s="47" t="n"/>
    </row>
    <row r="129">
      <c r="A129" s="45" t="n"/>
      <c r="B129" s="45" t="n"/>
      <c r="C129" s="47" t="n"/>
      <c r="D129" s="47" t="n"/>
    </row>
    <row r="130">
      <c r="A130" s="45" t="n"/>
      <c r="B130" s="45" t="n"/>
      <c r="C130" s="47" t="n"/>
      <c r="D130" s="47" t="n"/>
    </row>
    <row r="131">
      <c r="A131" s="45" t="n"/>
      <c r="B131" s="45" t="n"/>
      <c r="C131" s="47" t="n"/>
      <c r="D131" s="47" t="n"/>
    </row>
    <row r="132">
      <c r="A132" s="45" t="n"/>
      <c r="B132" s="45" t="n"/>
      <c r="C132" s="47" t="n"/>
      <c r="D132" s="47" t="n"/>
    </row>
    <row r="133">
      <c r="A133" s="45" t="n"/>
      <c r="B133" s="45" t="n"/>
      <c r="C133" s="47" t="n"/>
      <c r="D133" s="47" t="n"/>
    </row>
    <row r="134">
      <c r="A134" s="45" t="n"/>
      <c r="B134" s="45" t="n"/>
      <c r="C134" s="47" t="n"/>
      <c r="D134" s="47" t="n"/>
    </row>
    <row r="135">
      <c r="A135" s="45" t="n"/>
      <c r="B135" s="45" t="n"/>
      <c r="C135" s="47" t="n"/>
      <c r="D135" s="47" t="n"/>
    </row>
    <row r="136">
      <c r="A136" s="45" t="n"/>
      <c r="B136" s="45" t="n"/>
      <c r="C136" s="47" t="n"/>
      <c r="D136" s="47" t="n"/>
    </row>
    <row r="137">
      <c r="A137" s="45" t="n"/>
      <c r="B137" s="45" t="n"/>
      <c r="C137" s="47" t="n"/>
      <c r="D137" s="47" t="n"/>
    </row>
    <row r="138">
      <c r="A138" s="45" t="n"/>
      <c r="B138" s="45" t="n"/>
      <c r="C138" s="47" t="n"/>
      <c r="D138" s="47" t="n"/>
    </row>
    <row r="139">
      <c r="A139" s="45" t="n"/>
      <c r="B139" s="45" t="n"/>
      <c r="C139" s="47" t="n"/>
      <c r="D139" s="47" t="n"/>
    </row>
    <row r="140">
      <c r="A140" s="45" t="n"/>
      <c r="B140" s="45" t="n"/>
      <c r="C140" s="47" t="n"/>
      <c r="D140" s="47" t="n"/>
    </row>
    <row r="141">
      <c r="A141" s="45" t="n"/>
      <c r="B141" s="45" t="n"/>
      <c r="C141" s="47" t="n"/>
      <c r="D141" s="47" t="n"/>
    </row>
    <row r="142">
      <c r="A142" s="45" t="n"/>
      <c r="B142" s="45" t="n"/>
      <c r="C142" s="47" t="n"/>
      <c r="D142" s="47" t="n"/>
    </row>
    <row r="143">
      <c r="A143" s="45" t="n"/>
      <c r="B143" s="45" t="n"/>
      <c r="C143" s="47" t="n"/>
      <c r="D143" s="47" t="n"/>
    </row>
    <row r="144">
      <c r="A144" s="45" t="n"/>
      <c r="B144" s="45" t="n"/>
      <c r="C144" s="47" t="n"/>
      <c r="D144" s="47" t="n"/>
    </row>
    <row r="145">
      <c r="A145" s="45" t="n"/>
      <c r="B145" s="45" t="n"/>
      <c r="C145" s="47" t="n"/>
      <c r="D145" s="47" t="n"/>
    </row>
    <row r="146">
      <c r="A146" s="45" t="n"/>
      <c r="B146" s="45" t="n"/>
      <c r="C146" s="47" t="n"/>
      <c r="D146" s="47" t="n"/>
    </row>
    <row r="147">
      <c r="A147" s="45" t="n"/>
      <c r="B147" s="45" t="n"/>
      <c r="C147" s="47" t="n"/>
      <c r="D147" s="47" t="n"/>
    </row>
    <row r="148">
      <c r="A148" s="45" t="n"/>
      <c r="B148" s="45" t="n"/>
      <c r="C148" s="47" t="n"/>
      <c r="D148" s="47" t="n"/>
    </row>
    <row r="149">
      <c r="A149" s="45" t="n"/>
      <c r="B149" s="45" t="n"/>
      <c r="C149" s="47" t="n"/>
      <c r="D149" s="47" t="n"/>
    </row>
    <row r="150">
      <c r="A150" s="45" t="n"/>
      <c r="B150" s="45" t="n"/>
      <c r="C150" s="47" t="n"/>
      <c r="D150" s="47" t="n"/>
    </row>
    <row r="151">
      <c r="A151" s="45" t="n"/>
      <c r="B151" s="45" t="n"/>
      <c r="C151" s="47" t="n"/>
      <c r="D151" s="47" t="n"/>
    </row>
    <row r="152">
      <c r="A152" s="45" t="n"/>
      <c r="B152" s="45" t="n"/>
      <c r="C152" s="47" t="n"/>
      <c r="D152" s="47" t="n"/>
    </row>
    <row r="153">
      <c r="A153" s="45" t="n"/>
      <c r="B153" s="45" t="n"/>
      <c r="C153" s="47" t="n"/>
      <c r="D153" s="47" t="n"/>
    </row>
    <row r="154">
      <c r="A154" s="45" t="n"/>
      <c r="B154" s="45" t="n"/>
      <c r="C154" s="47" t="n"/>
      <c r="D154" s="47" t="n"/>
    </row>
    <row r="155">
      <c r="A155" s="45" t="n"/>
      <c r="B155" s="45" t="n"/>
      <c r="C155" s="47" t="n"/>
      <c r="D155" s="47" t="n"/>
    </row>
    <row r="156">
      <c r="A156" s="45" t="n"/>
      <c r="B156" s="45" t="n"/>
      <c r="C156" s="47" t="n"/>
      <c r="D156" s="47" t="n"/>
    </row>
    <row r="157">
      <c r="A157" s="45" t="n"/>
      <c r="B157" s="45" t="n"/>
      <c r="C157" s="47" t="n"/>
      <c r="D157" s="47" t="n"/>
    </row>
    <row r="158">
      <c r="A158" s="45" t="n"/>
      <c r="B158" s="45" t="n"/>
      <c r="C158" s="47" t="n"/>
      <c r="D158" s="47" t="n"/>
    </row>
    <row r="159">
      <c r="A159" s="45" t="n"/>
      <c r="B159" s="45" t="n"/>
      <c r="C159" s="47" t="n"/>
      <c r="D159" s="47" t="n"/>
    </row>
    <row r="160">
      <c r="A160" s="45" t="n"/>
      <c r="B160" s="45" t="n"/>
      <c r="C160" s="47" t="n"/>
      <c r="D160" s="47" t="n"/>
    </row>
    <row r="161">
      <c r="A161" s="45" t="n"/>
      <c r="B161" s="45" t="n"/>
      <c r="C161" s="47" t="n"/>
      <c r="D161" s="47" t="n"/>
    </row>
    <row r="162">
      <c r="A162" s="45" t="n"/>
      <c r="B162" s="45" t="n"/>
      <c r="C162" s="47" t="n"/>
      <c r="D162" s="47" t="n"/>
    </row>
    <row r="163">
      <c r="A163" s="45" t="n"/>
      <c r="B163" s="45" t="n"/>
      <c r="C163" s="47" t="n"/>
      <c r="D163" s="47" t="n"/>
    </row>
    <row r="164">
      <c r="A164" s="45" t="n"/>
      <c r="B164" s="45" t="n"/>
      <c r="C164" s="47" t="n"/>
      <c r="D164" s="47" t="n"/>
    </row>
    <row r="165">
      <c r="A165" s="45" t="n"/>
      <c r="B165" s="45" t="n"/>
      <c r="C165" s="47" t="n"/>
      <c r="D165" s="47" t="n"/>
    </row>
    <row r="166">
      <c r="A166" s="45" t="n"/>
      <c r="B166" s="45" t="n"/>
      <c r="C166" s="47" t="n"/>
      <c r="D166" s="47" t="n"/>
    </row>
    <row r="167">
      <c r="A167" s="45" t="n"/>
      <c r="B167" s="45" t="n"/>
      <c r="C167" s="47" t="n"/>
      <c r="D167" s="47" t="n"/>
    </row>
    <row r="168">
      <c r="A168" s="45" t="n"/>
      <c r="B168" s="45" t="n"/>
      <c r="C168" s="47" t="n"/>
      <c r="D168" s="47" t="n"/>
    </row>
    <row r="169">
      <c r="A169" s="45" t="n"/>
      <c r="B169" s="45" t="n"/>
      <c r="C169" s="47" t="n"/>
      <c r="D169" s="47" t="n"/>
    </row>
    <row r="170">
      <c r="A170" s="45" t="n"/>
      <c r="B170" s="45" t="n"/>
      <c r="C170" s="47" t="n"/>
      <c r="D170" s="47" t="n"/>
    </row>
    <row r="171">
      <c r="A171" s="45" t="n"/>
      <c r="B171" s="45" t="n"/>
      <c r="C171" s="47" t="n"/>
      <c r="D171" s="47" t="n"/>
    </row>
    <row r="172">
      <c r="A172" s="45" t="n"/>
      <c r="B172" s="45" t="n"/>
      <c r="C172" s="47" t="n"/>
      <c r="D172" s="47" t="n"/>
    </row>
    <row r="173">
      <c r="A173" s="45" t="n"/>
      <c r="B173" s="45" t="n"/>
      <c r="C173" s="47" t="n"/>
      <c r="D173" s="47" t="n"/>
    </row>
    <row r="174">
      <c r="A174" s="45" t="n"/>
      <c r="B174" s="45" t="n"/>
      <c r="C174" s="47" t="n"/>
      <c r="D174" s="47" t="n"/>
    </row>
    <row r="175">
      <c r="A175" s="45" t="n"/>
      <c r="B175" s="45" t="n"/>
      <c r="C175" s="47" t="n"/>
      <c r="D175" s="47" t="n"/>
    </row>
    <row r="176">
      <c r="A176" s="45" t="n"/>
      <c r="B176" s="45" t="n"/>
      <c r="C176" s="47" t="n"/>
      <c r="D176" s="47" t="n"/>
    </row>
    <row r="177">
      <c r="A177" s="45" t="n"/>
      <c r="B177" s="45" t="n"/>
      <c r="C177" s="47" t="n"/>
      <c r="D177" s="47" t="n"/>
    </row>
    <row r="178">
      <c r="A178" s="45" t="n"/>
      <c r="B178" s="45" t="n"/>
      <c r="C178" s="47" t="n"/>
      <c r="D178" s="47" t="n"/>
    </row>
    <row r="179">
      <c r="A179" s="45" t="n"/>
      <c r="B179" s="45" t="n"/>
      <c r="C179" s="47" t="n"/>
      <c r="D179" s="47" t="n"/>
    </row>
    <row r="180">
      <c r="A180" s="45" t="n"/>
      <c r="B180" s="45" t="n"/>
      <c r="C180" s="47" t="n"/>
      <c r="D180" s="47" t="n"/>
    </row>
    <row r="181">
      <c r="A181" s="45" t="n"/>
      <c r="B181" s="45" t="n"/>
      <c r="C181" s="47" t="n"/>
      <c r="D181" s="47" t="n"/>
    </row>
    <row r="182">
      <c r="A182" s="45" t="n"/>
      <c r="B182" s="45" t="n"/>
      <c r="C182" s="47" t="n"/>
      <c r="D182" s="47" t="n"/>
    </row>
    <row r="183">
      <c r="A183" s="45" t="n"/>
      <c r="B183" s="45" t="n"/>
      <c r="C183" s="47" t="n"/>
      <c r="D183" s="47" t="n"/>
    </row>
    <row r="184">
      <c r="A184" s="45" t="n"/>
      <c r="B184" s="45" t="n"/>
      <c r="C184" s="47" t="n"/>
      <c r="D184" s="47" t="n"/>
    </row>
    <row r="185">
      <c r="A185" s="45" t="n"/>
      <c r="B185" s="45" t="n"/>
      <c r="C185" s="47" t="n"/>
      <c r="D185" s="47" t="n"/>
    </row>
    <row r="186">
      <c r="A186" s="45" t="n"/>
      <c r="B186" s="45" t="n"/>
      <c r="C186" s="47" t="n"/>
      <c r="D186" s="47" t="n"/>
    </row>
    <row r="187">
      <c r="A187" s="45" t="n"/>
      <c r="B187" s="45" t="n"/>
      <c r="C187" s="47" t="n"/>
      <c r="D187" s="47" t="n"/>
    </row>
    <row r="188">
      <c r="A188" s="45" t="n"/>
      <c r="B188" s="45" t="n"/>
      <c r="C188" s="47" t="n"/>
      <c r="D188" s="47" t="n"/>
    </row>
    <row r="189">
      <c r="A189" s="45" t="n"/>
      <c r="B189" s="45" t="n"/>
      <c r="C189" s="47" t="n"/>
      <c r="D189" s="47" t="n"/>
    </row>
    <row r="190">
      <c r="A190" s="45" t="n"/>
      <c r="B190" s="45" t="n"/>
      <c r="C190" s="47" t="n"/>
      <c r="D190" s="47" t="n"/>
    </row>
    <row r="191">
      <c r="A191" s="45" t="n"/>
      <c r="B191" s="45" t="n"/>
      <c r="C191" s="47" t="n"/>
      <c r="D191" s="47" t="n"/>
    </row>
    <row r="192">
      <c r="A192" s="45" t="n"/>
      <c r="B192" s="45" t="n"/>
      <c r="C192" s="47" t="n"/>
      <c r="D192" s="47" t="n"/>
    </row>
    <row r="193">
      <c r="A193" s="45" t="n"/>
      <c r="B193" s="45" t="n"/>
      <c r="C193" s="47" t="n"/>
      <c r="D193" s="47" t="n"/>
    </row>
    <row r="194">
      <c r="A194" s="45" t="n"/>
      <c r="B194" s="45" t="n"/>
      <c r="C194" s="47" t="n"/>
      <c r="D194" s="47" t="n"/>
    </row>
    <row r="195">
      <c r="A195" s="45" t="n"/>
      <c r="B195" s="45" t="n"/>
      <c r="C195" s="47" t="n"/>
      <c r="D195" s="47" t="n"/>
    </row>
    <row r="196">
      <c r="A196" s="45" t="n"/>
      <c r="B196" s="45" t="n"/>
      <c r="C196" s="47" t="n"/>
      <c r="D196" s="47" t="n"/>
    </row>
    <row r="197">
      <c r="A197" s="45" t="n"/>
      <c r="B197" s="45" t="n"/>
      <c r="C197" s="47" t="n"/>
      <c r="D197" s="47" t="n"/>
    </row>
    <row r="198">
      <c r="A198" s="45" t="n"/>
      <c r="B198" s="45" t="n"/>
      <c r="C198" s="47" t="n"/>
      <c r="D198" s="47" t="n"/>
    </row>
    <row r="199">
      <c r="A199" s="45" t="n"/>
      <c r="B199" s="45" t="n"/>
      <c r="C199" s="47" t="n"/>
      <c r="D199" s="47" t="n"/>
    </row>
    <row r="200">
      <c r="A200" s="45" t="n"/>
      <c r="B200" s="45" t="n"/>
      <c r="C200" s="47" t="n"/>
      <c r="D200" s="47" t="n"/>
    </row>
    <row r="201">
      <c r="A201" s="45" t="n"/>
      <c r="B201" s="45" t="n"/>
      <c r="C201" s="47" t="n"/>
      <c r="D201" s="47" t="n"/>
    </row>
    <row r="202">
      <c r="A202" s="11" t="n"/>
      <c r="B202" s="12" t="inlineStr">
        <is>
          <t>TOTAL</t>
        </is>
      </c>
      <c r="C202" s="13">
        <f>SUM(C2:C201)</f>
        <v/>
      </c>
      <c r="D202" s="14">
        <f>SUM(D2:D201)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2026-02-08T14:12:26Z</dcterms:created>
  <dcterms:modified xmlns:dcterms="http://purl.org/dc/terms/" xmlns:xsi="http://www.w3.org/2001/XMLSchema-instance" xsi:type="dcterms:W3CDTF">2026-02-08T22:52:49Z</dcterms:modified>
</cp:coreProperties>
</file>